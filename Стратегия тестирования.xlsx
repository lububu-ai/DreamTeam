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terina\Downloads\"/>
    </mc:Choice>
  </mc:AlternateContent>
  <xr:revisionPtr revIDLastSave="0" documentId="13_ncr:1_{CF5574D6-984F-4751-B07A-2B5A4A15360B}" xr6:coauthVersionLast="47" xr6:coauthVersionMax="47" xr10:uidLastSave="{00000000-0000-0000-0000-000000000000}"/>
  <bookViews>
    <workbookView xWindow="-108" yWindow="-108" windowWidth="23256" windowHeight="12456" tabRatio="801" activeTab="1" xr2:uid="{00000000-000D-0000-FFFF-FFFF00000000}"/>
  </bookViews>
  <sheets>
    <sheet name="Тест-план" sheetId="1" r:id="rId1"/>
    <sheet name="Чек-лист + Дефекты" sheetId="2" r:id="rId2"/>
    <sheet name="Тест-кейс 1" sheetId="3" r:id="rId3"/>
    <sheet name="Дефект 1" sheetId="7" r:id="rId4"/>
    <sheet name="Тест-кейс 2" sheetId="4" r:id="rId5"/>
    <sheet name="Дефект 2" sheetId="5" r:id="rId6"/>
    <sheet name="Тест-кейс 3" sheetId="8" r:id="rId7"/>
    <sheet name="Дефект 3" sheetId="9" r:id="rId8"/>
    <sheet name="Отчет" sheetId="6" r:id="rId9"/>
  </sheets>
  <definedNames>
    <definedName name="_xlnm._FilterDatabase" localSheetId="1" hidden="1">'Чек-лист + Дефекты'!$B$1:$G$45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8" l="1"/>
  <c r="F10" i="8"/>
  <c r="E10" i="8"/>
  <c r="D10" i="8"/>
  <c r="H10" i="8" s="1"/>
  <c r="A10" i="8"/>
  <c r="E10" i="3" l="1"/>
  <c r="D10" i="3"/>
  <c r="H10" i="4"/>
  <c r="A13" i="4"/>
  <c r="F10" i="4"/>
  <c r="E10" i="4"/>
  <c r="D10" i="4"/>
  <c r="A10" i="4"/>
  <c r="A15" i="3"/>
  <c r="A10" i="3" s="1"/>
  <c r="F10" i="3"/>
  <c r="G1" i="3"/>
  <c r="E13" i="1"/>
  <c r="H10" i="3" l="1"/>
</calcChain>
</file>

<file path=xl/sharedStrings.xml><?xml version="1.0" encoding="utf-8"?>
<sst xmlns="http://schemas.openxmlformats.org/spreadsheetml/2006/main" count="424" uniqueCount="260">
  <si>
    <t>Цели доработки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</si>
  <si>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</si>
  <si>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</si>
  <si>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</si>
  <si>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</si>
  <si>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</si>
  <si>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</si>
  <si>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</si>
  <si>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</si>
  <si>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</si>
  <si>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</si>
  <si>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</si>
  <si>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</si>
  <si>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</si>
  <si>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dumb.chm</t>
  </si>
  <si>
    <t>Итого</t>
  </si>
  <si>
    <t>Тест-кейсы</t>
  </si>
  <si>
    <t>Результат</t>
  </si>
  <si>
    <t>Дефект</t>
  </si>
  <si>
    <t>№</t>
  </si>
  <si>
    <t>Наименование</t>
  </si>
  <si>
    <t>Важность</t>
  </si>
  <si>
    <t>New</t>
  </si>
  <si>
    <t>Open</t>
  </si>
  <si>
    <t>Save</t>
  </si>
  <si>
    <t>Exit</t>
  </si>
  <si>
    <t>Не закрывается файл справки</t>
  </si>
  <si>
    <t>Trivial</t>
  </si>
  <si>
    <t>С маленькой буквы</t>
  </si>
  <si>
    <t>Minor</t>
  </si>
  <si>
    <t>Модальное окно не закрывается, приложение зависает</t>
  </si>
  <si>
    <t>Critical</t>
  </si>
  <si>
    <t>High</t>
  </si>
  <si>
    <t>Cat вместо Cut</t>
  </si>
  <si>
    <t>Add-OK</t>
  </si>
  <si>
    <t>aaaaaaaazzzzzzzzzzzzzzzzzzzzzssssssssssddddddggggggggggggggggghhhhhhhhhhhhhhhdqweerwtreyrteuyriuuoiupasdgasdhsfgjfhgkghljkzxcvbzcvnbmnbcmgfhaeryhdfbddddddddffffffffffffffx</t>
  </si>
  <si>
    <t xml:space="preserve"> </t>
  </si>
  <si>
    <t>a1s2d3f4g5h6</t>
  </si>
  <si>
    <t>1a1s2d3f4g</t>
  </si>
  <si>
    <t>a</t>
  </si>
  <si>
    <t>aa</t>
  </si>
  <si>
    <t>aaab</t>
  </si>
  <si>
    <t>baaa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</si>
  <si>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</si>
  <si>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</si>
  <si>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</si>
  <si>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</si>
  <si>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</si>
  <si>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</si>
  <si>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</si>
  <si>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</si>
  <si>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</si>
  <si>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</si>
  <si>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</si>
  <si>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</si>
  <si>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</si>
  <si>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</si>
  <si>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</si>
  <si>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</si>
  <si>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</si>
  <si>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</si>
  <si>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</si>
  <si>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</si>
  <si>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Список значений:</t>
  </si>
  <si>
    <t>Название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</si>
  <si>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</si>
  <si>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</si>
  <si>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</si>
  <si>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</si>
  <si>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</si>
  <si>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</si>
  <si>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Приоритет:</t>
  </si>
  <si>
    <t>Medium</t>
  </si>
  <si>
    <t>Blocker</t>
  </si>
  <si>
    <t>Opened</t>
  </si>
  <si>
    <t>In progress</t>
  </si>
  <si>
    <t>Major</t>
  </si>
  <si>
    <t>Low</t>
  </si>
  <si>
    <t>Retest</t>
  </si>
  <si>
    <t>Fixed</t>
  </si>
  <si>
    <t>Closed</t>
  </si>
  <si>
    <t xml:space="preserve">Назначен на </t>
  </si>
  <si>
    <t>Автор</t>
  </si>
  <si>
    <t>Описание</t>
  </si>
  <si>
    <t>Вложения</t>
  </si>
  <si>
    <t>Отчет о системном тестировании TextFilter</t>
  </si>
  <si>
    <t>Версия</t>
  </si>
  <si>
    <t>1.0</t>
  </si>
  <si>
    <t>Сроки проведения тестирования</t>
  </si>
  <si>
    <t>Участники процесса</t>
  </si>
  <si>
    <t>к-во запланированных тестов</t>
  </si>
  <si>
    <t>к-во выполненных тестов</t>
  </si>
  <si>
    <t>к-во успешно выполненных тестов</t>
  </si>
  <si>
    <t>к-во неуспешно выполненных тестов</t>
  </si>
  <si>
    <t>к-во зарегистрированных ошибок</t>
  </si>
  <si>
    <t>приоритета Critical</t>
  </si>
  <si>
    <t>приоритета High</t>
  </si>
  <si>
    <t>приоритета Medium</t>
  </si>
  <si>
    <t>приоритета Minor</t>
  </si>
  <si>
    <t>приоритета Trivial</t>
  </si>
  <si>
    <t>Заключение:</t>
  </si>
  <si>
    <r>
      <t xml:space="preserve">Система </t>
    </r>
    <r>
      <rPr>
        <b/>
        <sz val="11"/>
        <color rgb="FF000000"/>
        <rFont val="Calibri"/>
      </rPr>
      <t>не рекомендуется</t>
    </r>
    <r>
      <rPr>
        <sz val="11"/>
        <color rgb="FF000000"/>
        <rFont val="Calibri"/>
      </rPr>
      <t xml:space="preserve"> для установки в прод т к не достигнуты метрики окончания тестирования (не исправлены все дефекты приоритета Critical)</t>
    </r>
  </si>
  <si>
    <t xml:space="preserve">Тест-кейс для проверки </t>
  </si>
  <si>
    <t xml:space="preserve"> Проверка очистки поля ответа при возврате назад и выборе другого задания</t>
  </si>
  <si>
    <t>Сервер запущен, клиентское приложение запущено, пользователь авторизован.</t>
  </si>
  <si>
    <t>На главном экране нажать кнопку Task 3.</t>
  </si>
  <si>
    <t>Открылось Task 3</t>
  </si>
  <si>
    <t>Ввести в поле ответа значение "123"</t>
  </si>
  <si>
    <t>Введено</t>
  </si>
  <si>
    <t>Нажать кнопку Back</t>
  </si>
  <si>
    <t>Пользователь вернулся на экран выбора заданий</t>
  </si>
  <si>
    <t>Открылось Task 5</t>
  </si>
  <si>
    <t xml:space="preserve">Нажать кнопку Task 5
</t>
  </si>
  <si>
    <t xml:space="preserve">Проверить содержимое поля ввода ответа
</t>
  </si>
  <si>
    <t>Поле ответа должно быть пустым</t>
  </si>
  <si>
    <t>х</t>
  </si>
  <si>
    <t>В поле ответа остаётся старое значение "123", введённое в предыдущем задании</t>
  </si>
  <si>
    <t>Failed</t>
  </si>
  <si>
    <t>Семенец Екатерина</t>
  </si>
  <si>
    <t>Поле ответа не очищается после нажатия Back и выбора другого задания</t>
  </si>
  <si>
    <t xml:space="preserve">При переходе из одного задания назад в меню, а затем при открытии другого задания, поле ввода ответа сохраняет значение, введённое в предыдущем задании. Из-за этого пользователь может случайно отправить старый ответ для нового задания.Шаги воспроизведения:
1 Запустить сервер, клиент и авторизоваться
2 Нажать кнопку Task 3 и ввести в поле ответа значение "123"
3 Нажать кнопку Back
4. Нажать кнопку Task 5
5. Посмотреть поле ввода ответа.
Ожидаемый результат:
 Поле ответа должно быть пустым при открытии нового задания.
Наблюдаемый результат:
В поле ответа отображается значение "123", оставшееся от предыдущего задания.
</t>
  </si>
  <si>
    <t>Валидация формата e-mail при регистрации</t>
  </si>
  <si>
    <t>Шилова Любовь</t>
  </si>
  <si>
    <t>Проверка валидации формата e-mail при регистрации пользователя</t>
  </si>
  <si>
    <t>Тест-кейс 2</t>
  </si>
  <si>
    <t>Приложение запущено, открыта форма регистрации.</t>
  </si>
  <si>
    <t>test_email</t>
  </si>
  <si>
    <t>Успешная регистрация</t>
  </si>
  <si>
    <t xml:space="preserve">Регистрация не удалась </t>
  </si>
  <si>
    <t>Нажать 'Register'.</t>
  </si>
  <si>
    <t>Ввод данных</t>
  </si>
  <si>
    <t>Отсутствует валидация формата E-mail</t>
  </si>
  <si>
    <t>Проверка автообновления условия задачи</t>
  </si>
  <si>
    <t>Тест-кейс для проверки автоматического автообновления условия задачи после решения и отправки ответа для предыдущего условия</t>
  </si>
  <si>
    <t>Рыбакин Иван</t>
  </si>
  <si>
    <t>Запустить сервер и клиент, авторизоваться</t>
  </si>
  <si>
    <t>На экран вывелось условие выбранного задания, кнопка Back, поле для ввода ответа и кнопка Send для его отправки</t>
  </si>
  <si>
    <t>Введенно</t>
  </si>
  <si>
    <t>Нажать кнопку Send и отправить ответ на сервер</t>
  </si>
  <si>
    <t>Ответ отправлен. Открывается Message Box с результатом решения. Условие задания обновилось</t>
  </si>
  <si>
    <t>Ответ отправлен. Открывается Message Box с результатом решения. Условие не обновилось</t>
  </si>
  <si>
    <t>Условие задания не обновляется после решения предыдущего</t>
  </si>
  <si>
    <t>Тест-план</t>
  </si>
  <si>
    <t>Обеспечение корректного функционирования</t>
  </si>
  <si>
    <t>Обновление условия задачи</t>
  </si>
  <si>
    <t>Регистрация</t>
  </si>
  <si>
    <t>Открытие формы регистрации</t>
  </si>
  <si>
    <t>Ввод e-mail некорректного формата</t>
  </si>
  <si>
    <t>Ввод ответа в поле</t>
  </si>
  <si>
    <t>Поле ответа не очищается после Back и выбора другого задания</t>
  </si>
  <si>
    <t xml:space="preserve">Авторизация и регистрация </t>
  </si>
  <si>
    <t>область функционала</t>
  </si>
  <si>
    <t xml:space="preserve"> Заполнить поле 'Email' значением из списка.</t>
  </si>
  <si>
    <t>Заполнить поле 'Login' значением из  списка.</t>
  </si>
  <si>
    <t>user</t>
  </si>
  <si>
    <t>Заполнить поле пароля значением из списка.</t>
  </si>
  <si>
    <t>Password123!</t>
  </si>
  <si>
    <t>Шаги воспроизведения:
1 Запустить клиент 
2 Перейти к форме регистрации
3 Ввести данные, указав пользователь "user", пароль "Password123!"  и e-mail "test_email"
4. Нажать кнопку регистрации.
Ожидаемый результат:
 Регистрация блокируется, пользователю отображается уведомление о некорректном формате email.
Наблюдаемый результат:
Данные отправляются на сервер, регистрация проходит успешно.
Комментарий: Ошибка позволяет засорять базу данных некорректными данными. Необходимо добавить проверку.</t>
  </si>
  <si>
    <t>В окне выбора заданий выбрать Task 2</t>
  </si>
  <si>
    <t>Ввести ответ "55"</t>
  </si>
  <si>
    <t>При решении любого задания и отправке ответа на сервер условия автоматически обновляются на стороне сервера, когда на стороне клиента это происходит только при повторном выборе задания в окне выбора заданий. Это может запутать пользователя и привести к дальнейшим ошибкам при решении
Шаги воспроизведения:
1 В окне выбора заданий выбрать Task 2
2 Ввести ответ в поле "55"
3 Нажать кнопку Send и отправить ответ на сервер
Ожидаемый результат:
1 На экран вывелось условие выбранного задания, кнопка Back, поле для ввода ответа и кнопка Send для его отправки
2 Введенно
3 Ответ отправлен. Открывается Message Box с результатом решения. Условие задания обновилось
Наблюдаемый результат:
1 На экран вывелось условие выбранного задания, кнопка Back, поле для ввода ответа и кнопка Send для его отправки
2 Введенно
3 Ответ отправлен. Открывается Message Box с результатом решения. Условие задания не обновилось
Решение:
После отправки ответа и вывода Message Box клиент автоматически возвращает пользователя на окно выбора задания. Пользователь должен снова выбрать задачу, при выборе задачи и нажатии кнопки, соответствующей ей, условие обновляется</t>
  </si>
  <si>
    <t>Работа с задачами</t>
  </si>
  <si>
    <t xml:space="preserve">Main window </t>
  </si>
  <si>
    <t>не протестирован</t>
  </si>
  <si>
    <t>Проверка регистрации нового пользователя, авторизации существующего пользователя, обязательных полей, формата e-mail, обработки неверных логина/пароля и переходов между формами.</t>
  </si>
  <si>
    <t>Проверка открытия задач, отображения условия, ввода ответа, отправки ответа, перехода назад, очистки поля ответа, обновления условия после решения и корректной обработки неверного ответа.</t>
  </si>
  <si>
    <t>Проверка кнопок открытия задач с первой по пятую, перехода к статистике, возврата из разделов, работы кнопки выхода и корректности отображения элементов главного окна.</t>
  </si>
  <si>
    <t>Некорректные данные могут попадать в систему; пользователь может войти без корректной проверки учетных данных; ошибки валидации могут мешать регистрации.</t>
  </si>
  <si>
    <t>Пользователь может отправить старый ответ, решать задание по устаревшему условию или получить некорректный результат после отправки.</t>
  </si>
  <si>
    <t>Кнопки могут вести не в тот раздел; статистика может не открываться; выход может работать некорректно; пользователь может потерять возможность навигации.</t>
  </si>
  <si>
    <t xml:space="preserve"> частично протестировано, есть дефект</t>
  </si>
  <si>
    <t>Открыть экран регистрации из начального окна</t>
  </si>
  <si>
    <t>проверка/стратегия тестирования</t>
  </si>
  <si>
    <t>тестовые данные/условия</t>
  </si>
  <si>
    <t>ожидаемый результат</t>
  </si>
  <si>
    <t>статус</t>
  </si>
  <si>
    <t>Форма регистрации открывается, отображаются поля для ввода данных и кнопка регистрации</t>
  </si>
  <si>
    <t>Проверка обязательных полей</t>
  </si>
  <si>
    <t>Оставить одно или несколько обязательных полей пустыми</t>
  </si>
  <si>
    <t>Система не выполняет регистрацию и показывает сообщение об ошибке</t>
  </si>
  <si>
    <t>Запланировано</t>
  </si>
  <si>
    <t>Например: usermail.com или user@</t>
  </si>
  <si>
    <t>Регистрация блокируется, отображается ошибка формата e-mail</t>
  </si>
  <si>
    <t>Выполнено</t>
  </si>
  <si>
    <t>Ввод валидных данных нового пользователя</t>
  </si>
  <si>
    <t>Корректный login, e-mail и пароль</t>
  </si>
  <si>
    <t>Пользователь успешно регистрируется и может перейти к работе с приложением</t>
  </si>
  <si>
    <t>Проверка повторной регистрации существующего пользователя</t>
  </si>
  <si>
    <t>Данные уже зарегистрированного пользователя</t>
  </si>
  <si>
    <t>Система не создает дубль учетной записи и сообщает, что пользователь уже существует</t>
  </si>
  <si>
    <t>Вход с корректными учетными данными</t>
  </si>
  <si>
    <t>Существующий login/e-mail и корректный пароль</t>
  </si>
  <si>
    <t>Пользователь успешно авторизуется и попадает в Main window</t>
  </si>
  <si>
    <t>Вход с неверным паролем</t>
  </si>
  <si>
    <t>Существующий login/e-mail и неверный пароль</t>
  </si>
  <si>
    <t>Вход не выполняется, отображается сообщение об ошибке</t>
  </si>
  <si>
    <t>Авторизация</t>
  </si>
  <si>
    <t>Проверка переходов между регистрацией и авторизацией</t>
  </si>
  <si>
    <t>Переход по кнопкам/ссылкам между формами</t>
  </si>
  <si>
    <t>Переходы работают корректно, введенные данные не приводят к ошибкам интерфейса</t>
  </si>
  <si>
    <t>Открытие задач</t>
  </si>
  <si>
    <t>Открытие выбранной задачи</t>
  </si>
  <si>
    <t>Открывается экран выбранной задачи с корректным условием</t>
  </si>
  <si>
    <t>Проверка соответствия номера задачи и условия</t>
  </si>
  <si>
    <t>Открыть Task 1–Task 5</t>
  </si>
  <si>
    <t>Для каждой кнопки отображается соответствующая задача</t>
  </si>
  <si>
    <t xml:space="preserve">Ввод ответа </t>
  </si>
  <si>
    <t>Ответ отображается в поле ввода без искажений</t>
  </si>
  <si>
    <t>Ввести ответ в поле ввода</t>
  </si>
  <si>
    <t>Проверка пустого ответа</t>
  </si>
  <si>
    <t>Оставить поле ответа пустым и нажать Send</t>
  </si>
  <si>
    <t>Система не принимает пустой ответ и сообщает об ошибке</t>
  </si>
  <si>
    <t>Переходы между задачами</t>
  </si>
  <si>
    <t>Проверка очистки поля ответа после Back и выбора другого задания</t>
  </si>
  <si>
    <t>Открыть Task 3, ввести ответ, нажать Back, открыть Task 5</t>
  </si>
  <si>
    <t>Поле ответа для новой задачи должно быть пустым</t>
  </si>
  <si>
    <t>Отправка ответа</t>
  </si>
  <si>
    <t>Отправка правильного ответа</t>
  </si>
  <si>
    <t>Ввести корректный ответ и нажать Send</t>
  </si>
  <si>
    <t>Система принимает ответ и показывает следующий результат/задачу</t>
  </si>
  <si>
    <t>Отправка неправильного ответа</t>
  </si>
  <si>
    <t>Ввести неверный ответ и нажать Send</t>
  </si>
  <si>
    <t>После отправки ответа условие задачи обновляется</t>
  </si>
  <si>
    <t>Проверка обновления условия после отправки ответа</t>
  </si>
  <si>
    <t>Решить задачу и нажать Send</t>
  </si>
  <si>
    <t>Навигация</t>
  </si>
  <si>
    <t>Возврат назад из задачи</t>
  </si>
  <si>
    <t>Нажать Back на экране задачи</t>
  </si>
  <si>
    <t>Пользователь возвращается в Main window без потери работоспособности приложения</t>
  </si>
  <si>
    <t>Кнопки задач</t>
  </si>
  <si>
    <t>Открытие Task 1</t>
  </si>
  <si>
    <t>Нажать кнопку Task 1</t>
  </si>
  <si>
    <t>Открытие Task 2</t>
  </si>
  <si>
    <t>Нажать кнопку Task 2</t>
  </si>
  <si>
    <t>Открытие Task 3</t>
  </si>
  <si>
    <t>Нажать кнопку Task 3</t>
  </si>
  <si>
    <t>Открытие Task 4</t>
  </si>
  <si>
    <t>Нажать кнопку Task 4</t>
  </si>
  <si>
    <t>Открытие Task 5</t>
  </si>
  <si>
    <t>Нажать кнопку Task 5</t>
  </si>
  <si>
    <t>Открывается первая задача</t>
  </si>
  <si>
    <t>Открывается вторая задача</t>
  </si>
  <si>
    <t>Открывается третья задача</t>
  </si>
  <si>
    <t>Открывается четвертая задача</t>
  </si>
  <si>
    <t>Открывается пятая задача</t>
  </si>
  <si>
    <t>Статистика</t>
  </si>
  <si>
    <t>Открытие раздела статистики</t>
  </si>
  <si>
    <t>Нажать кнопку Stat</t>
  </si>
  <si>
    <t>Открывается экран статистики пользователя</t>
  </si>
  <si>
    <t>Проверка отображения данных статистики</t>
  </si>
  <si>
    <t>Открыть статистику после решения задач</t>
  </si>
  <si>
    <t>Отображаются актуальные данные о выполненных заданиях/результатах</t>
  </si>
  <si>
    <t>Выход</t>
  </si>
  <si>
    <t>Проверка кнопки Exit</t>
  </si>
  <si>
    <t>Нажать кнопку Exit</t>
  </si>
  <si>
    <t>Приложение корректно завершает работу</t>
  </si>
  <si>
    <t>Интерфейс</t>
  </si>
  <si>
    <t>Проверка корректности отображения элементов главного окна</t>
  </si>
  <si>
    <t>Открыть Main window после авторизации</t>
  </si>
  <si>
    <t>Все кнопки и элементы отображаются без наложений и доступны для нажатия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</si>
</sst>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0" x14ac:knownFonts="1">
    <font>
      <sz val="11"/>
      <color rgb="FF000000"/>
      <name val="Calibri"/>
    </font>
    <font>
      <b/>
      <sz val="18"/>
      <color rgb="FF000000"/>
      <name val="Calibri"/>
    </font>
    <font>
      <u/>
      <sz val="11"/>
      <color rgb="FF1F497D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u/>
      <sz val="11"/>
      <color rgb="FF0070C0"/>
      <name val="Calibri"/>
    </font>
    <font>
      <b/>
      <sz val="11"/>
      <color rgb="FF00B050"/>
      <name val="Calibri"/>
    </font>
    <font>
      <sz val="11"/>
      <color rgb="FFFF0000"/>
      <name val="Calibri"/>
    </font>
    <font>
      <sz val="11"/>
      <name val="Calibri"/>
    </font>
    <font>
      <u/>
      <sz val="11"/>
      <color rgb="FF0000FF"/>
      <name val="Calibri"/>
    </font>
    <font>
      <sz val="10"/>
      <name val="Times New Roman"/>
    </font>
    <font>
      <b/>
      <sz val="10"/>
      <name val="Times New Roman"/>
    </font>
    <font>
      <sz val="10"/>
      <color rgb="FF000000"/>
      <name val="Times New Roman"/>
    </font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1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theme="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92D05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4"/>
  </cellStyleXfs>
  <cellXfs count="183">
    <xf numFmtId="0" fontId="0" fillId="0" borderId="0" xfId="0" applyFont="1" applyAlignment="1"/>
    <xf numFmtId="0" fontId="0" fillId="2" borderId="1" xfId="0" applyFont="1" applyFill="1" applyBorder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wrapText="1"/>
    </xf>
    <xf numFmtId="0" fontId="0" fillId="0" borderId="2" xfId="0" applyFont="1" applyBorder="1"/>
    <xf numFmtId="0" fontId="0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0" fillId="2" borderId="3" xfId="0" applyFont="1" applyFill="1" applyBorder="1" applyAlignment="1">
      <alignment wrapText="1"/>
    </xf>
    <xf numFmtId="0" fontId="7" fillId="2" borderId="5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 wrapText="1"/>
    </xf>
    <xf numFmtId="0" fontId="0" fillId="2" borderId="2" xfId="0" applyFont="1" applyFill="1" applyBorder="1"/>
    <xf numFmtId="0" fontId="0" fillId="2" borderId="1" xfId="0" applyFont="1" applyFill="1" applyBorder="1" applyAlignment="1">
      <alignment wrapText="1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16" xfId="0" applyFont="1" applyBorder="1"/>
    <xf numFmtId="0" fontId="0" fillId="0" borderId="17" xfId="0" applyFont="1" applyBorder="1"/>
    <xf numFmtId="0" fontId="0" fillId="0" borderId="18" xfId="0" applyFont="1" applyBorder="1"/>
    <xf numFmtId="14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0" fillId="5" borderId="2" xfId="0" applyFont="1" applyFill="1" applyBorder="1"/>
    <xf numFmtId="0" fontId="0" fillId="6" borderId="2" xfId="0" applyFont="1" applyFill="1" applyBorder="1"/>
    <xf numFmtId="0" fontId="11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right"/>
    </xf>
    <xf numFmtId="0" fontId="11" fillId="0" borderId="21" xfId="0" applyFont="1" applyBorder="1" applyAlignment="1">
      <alignment horizontal="left" vertical="top" wrapText="1"/>
    </xf>
    <xf numFmtId="0" fontId="12" fillId="7" borderId="22" xfId="0" applyFont="1" applyFill="1" applyBorder="1" applyAlignment="1">
      <alignment horizontal="center"/>
    </xf>
    <xf numFmtId="0" fontId="12" fillId="7" borderId="23" xfId="0" applyFont="1" applyFill="1" applyBorder="1" applyAlignment="1">
      <alignment horizontal="center"/>
    </xf>
    <xf numFmtId="0" fontId="11" fillId="0" borderId="24" xfId="0" applyFont="1" applyBorder="1" applyAlignment="1">
      <alignment horizontal="center" wrapText="1"/>
    </xf>
    <xf numFmtId="0" fontId="11" fillId="7" borderId="25" xfId="0" applyFont="1" applyFill="1" applyBorder="1"/>
    <xf numFmtId="0" fontId="12" fillId="7" borderId="3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right"/>
    </xf>
    <xf numFmtId="0" fontId="12" fillId="7" borderId="3" xfId="0" applyFont="1" applyFill="1" applyBorder="1" applyAlignment="1">
      <alignment horizontal="center" wrapText="1"/>
    </xf>
    <xf numFmtId="0" fontId="11" fillId="7" borderId="28" xfId="0" applyFont="1" applyFill="1" applyBorder="1"/>
    <xf numFmtId="0" fontId="11" fillId="0" borderId="31" xfId="0" applyFont="1" applyBorder="1" applyAlignment="1">
      <alignment wrapText="1"/>
    </xf>
    <xf numFmtId="0" fontId="12" fillId="7" borderId="19" xfId="0" applyFont="1" applyFill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164" fontId="11" fillId="0" borderId="24" xfId="0" applyNumberFormat="1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32" xfId="0" applyFont="1" applyBorder="1"/>
    <xf numFmtId="0" fontId="12" fillId="0" borderId="32" xfId="0" applyFont="1" applyBorder="1" applyAlignment="1">
      <alignment horizontal="center"/>
    </xf>
    <xf numFmtId="0" fontId="0" fillId="0" borderId="32" xfId="0" applyFont="1" applyBorder="1"/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12" fillId="7" borderId="33" xfId="0" applyFont="1" applyFill="1" applyBorder="1" applyAlignment="1">
      <alignment horizontal="center"/>
    </xf>
    <xf numFmtId="0" fontId="12" fillId="7" borderId="34" xfId="0" applyFont="1" applyFill="1" applyBorder="1"/>
    <xf numFmtId="0" fontId="12" fillId="7" borderId="35" xfId="0" applyFont="1" applyFill="1" applyBorder="1" applyAlignment="1">
      <alignment horizontal="right"/>
    </xf>
    <xf numFmtId="0" fontId="12" fillId="7" borderId="35" xfId="0" applyFont="1" applyFill="1" applyBorder="1" applyAlignment="1">
      <alignment horizontal="center"/>
    </xf>
    <xf numFmtId="0" fontId="12" fillId="7" borderId="36" xfId="0" applyFont="1" applyFill="1" applyBorder="1" applyAlignment="1">
      <alignment horizontal="right"/>
    </xf>
    <xf numFmtId="9" fontId="12" fillId="7" borderId="37" xfId="0" applyNumberFormat="1" applyFont="1" applyFill="1" applyBorder="1"/>
    <xf numFmtId="0" fontId="12" fillId="7" borderId="38" xfId="0" applyFont="1" applyFill="1" applyBorder="1" applyAlignment="1">
      <alignment horizontal="center" textRotation="180"/>
    </xf>
    <xf numFmtId="0" fontId="12" fillId="7" borderId="35" xfId="0" applyFont="1" applyFill="1" applyBorder="1"/>
    <xf numFmtId="0" fontId="12" fillId="7" borderId="35" xfId="0" applyFont="1" applyFill="1" applyBorder="1" applyAlignment="1">
      <alignment horizontal="center" textRotation="180"/>
    </xf>
    <xf numFmtId="0" fontId="12" fillId="7" borderId="36" xfId="0" applyFont="1" applyFill="1" applyBorder="1"/>
    <xf numFmtId="0" fontId="12" fillId="7" borderId="37" xfId="0" applyFont="1" applyFill="1" applyBorder="1"/>
    <xf numFmtId="0" fontId="11" fillId="0" borderId="39" xfId="0" applyFont="1" applyBorder="1" applyAlignment="1">
      <alignment horizontal="center"/>
    </xf>
    <xf numFmtId="0" fontId="11" fillId="0" borderId="7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center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right"/>
    </xf>
    <xf numFmtId="0" fontId="0" fillId="0" borderId="31" xfId="0" applyFont="1" applyBorder="1"/>
    <xf numFmtId="0" fontId="0" fillId="0" borderId="44" xfId="0" applyFont="1" applyBorder="1"/>
    <xf numFmtId="0" fontId="13" fillId="0" borderId="2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right" vertical="top"/>
    </xf>
    <xf numFmtId="0" fontId="3" fillId="0" borderId="0" xfId="0" applyFont="1"/>
    <xf numFmtId="14" fontId="0" fillId="0" borderId="0" xfId="0" applyNumberFormat="1" applyFont="1"/>
    <xf numFmtId="9" fontId="0" fillId="0" borderId="2" xfId="0" applyNumberFormat="1" applyFont="1" applyBorder="1"/>
    <xf numFmtId="10" fontId="0" fillId="0" borderId="2" xfId="0" applyNumberFormat="1" applyFont="1" applyBorder="1"/>
    <xf numFmtId="0" fontId="0" fillId="0" borderId="31" xfId="0" applyFont="1" applyBorder="1"/>
    <xf numFmtId="0" fontId="11" fillId="0" borderId="31" xfId="0" applyFont="1" applyBorder="1" applyAlignment="1">
      <alignment horizontal="left" vertical="top" wrapText="1"/>
    </xf>
    <xf numFmtId="0" fontId="0" fillId="0" borderId="31" xfId="0" applyFont="1" applyBorder="1"/>
    <xf numFmtId="0" fontId="12" fillId="7" borderId="24" xfId="0" applyFont="1" applyFill="1" applyBorder="1" applyAlignment="1">
      <alignment horizontal="center"/>
    </xf>
    <xf numFmtId="0" fontId="0" fillId="0" borderId="0" xfId="0"/>
    <xf numFmtId="0" fontId="12" fillId="7" borderId="31" xfId="0" applyFont="1" applyFill="1" applyBorder="1" applyAlignment="1">
      <alignment horizontal="center"/>
    </xf>
    <xf numFmtId="0" fontId="12" fillId="7" borderId="43" xfId="0" applyFont="1" applyFill="1" applyBorder="1" applyAlignment="1">
      <alignment horizontal="center"/>
    </xf>
    <xf numFmtId="0" fontId="12" fillId="7" borderId="44" xfId="0" applyFont="1" applyFill="1" applyBorder="1" applyAlignment="1">
      <alignment horizontal="right"/>
    </xf>
    <xf numFmtId="0" fontId="12" fillId="7" borderId="31" xfId="0" applyFont="1" applyFill="1" applyBorder="1" applyAlignment="1">
      <alignment horizontal="center" wrapText="1"/>
    </xf>
    <xf numFmtId="0" fontId="0" fillId="0" borderId="32" xfId="0" applyBorder="1"/>
    <xf numFmtId="0" fontId="0" fillId="0" borderId="31" xfId="0" applyBorder="1"/>
    <xf numFmtId="0" fontId="0" fillId="0" borderId="44" xfId="0" applyBorder="1"/>
    <xf numFmtId="0" fontId="0" fillId="0" borderId="2" xfId="0" applyBorder="1"/>
    <xf numFmtId="0" fontId="0" fillId="0" borderId="31" xfId="0" applyFont="1" applyBorder="1"/>
    <xf numFmtId="0" fontId="15" fillId="2" borderId="2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top" wrapText="1"/>
    </xf>
    <xf numFmtId="0" fontId="17" fillId="0" borderId="0" xfId="0" applyFont="1" applyAlignment="1"/>
    <xf numFmtId="0" fontId="18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wrapText="1"/>
    </xf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vertical="top" wrapText="1"/>
    </xf>
    <xf numFmtId="0" fontId="17" fillId="0" borderId="2" xfId="0" applyFont="1" applyBorder="1"/>
    <xf numFmtId="0" fontId="0" fillId="8" borderId="2" xfId="0" applyFont="1" applyFill="1" applyBorder="1"/>
    <xf numFmtId="0" fontId="0" fillId="0" borderId="7" xfId="0" applyFont="1" applyBorder="1"/>
    <xf numFmtId="0" fontId="0" fillId="0" borderId="4" xfId="0" applyFont="1" applyBorder="1"/>
    <xf numFmtId="0" fontId="17" fillId="0" borderId="47" xfId="0" applyFont="1" applyBorder="1" applyAlignment="1"/>
    <xf numFmtId="0" fontId="0" fillId="0" borderId="31" xfId="0" applyFont="1" applyBorder="1"/>
    <xf numFmtId="0" fontId="0" fillId="0" borderId="2" xfId="0" applyFont="1" applyFill="1" applyBorder="1"/>
    <xf numFmtId="0" fontId="19" fillId="0" borderId="2" xfId="0" applyFont="1" applyFill="1" applyBorder="1"/>
    <xf numFmtId="0" fontId="0" fillId="0" borderId="47" xfId="0" applyFont="1" applyBorder="1" applyAlignment="1"/>
    <xf numFmtId="0" fontId="0" fillId="0" borderId="47" xfId="0" applyFont="1" applyBorder="1"/>
    <xf numFmtId="0" fontId="17" fillId="0" borderId="30" xfId="0" applyFont="1" applyBorder="1"/>
    <xf numFmtId="0" fontId="0" fillId="0" borderId="30" xfId="0" applyFont="1" applyBorder="1"/>
    <xf numFmtId="0" fontId="0" fillId="0" borderId="14" xfId="0" applyFont="1" applyBorder="1" applyAlignment="1"/>
    <xf numFmtId="0" fontId="0" fillId="8" borderId="4" xfId="0" applyFont="1" applyFill="1" applyBorder="1"/>
    <xf numFmtId="0" fontId="6" fillId="2" borderId="4" xfId="0" applyFont="1" applyFill="1" applyBorder="1" applyAlignment="1">
      <alignment wrapText="1"/>
    </xf>
    <xf numFmtId="0" fontId="9" fillId="0" borderId="6" xfId="0" applyFont="1" applyBorder="1"/>
    <xf numFmtId="0" fontId="5" fillId="4" borderId="13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11" fillId="7" borderId="26" xfId="0" applyFont="1" applyFill="1" applyBorder="1" applyAlignment="1">
      <alignment horizontal="center"/>
    </xf>
    <xf numFmtId="0" fontId="9" fillId="0" borderId="29" xfId="0" applyFont="1" applyBorder="1"/>
    <xf numFmtId="0" fontId="12" fillId="7" borderId="27" xfId="0" applyFont="1" applyFill="1" applyBorder="1" applyAlignment="1">
      <alignment horizontal="right" vertical="top"/>
    </xf>
    <xf numFmtId="0" fontId="9" fillId="0" borderId="30" xfId="0" applyFont="1" applyBorder="1"/>
    <xf numFmtId="0" fontId="11" fillId="0" borderId="4" xfId="0" applyFont="1" applyBorder="1" applyAlignment="1">
      <alignment horizontal="left" vertical="top" wrapText="1"/>
    </xf>
    <xf numFmtId="0" fontId="9" fillId="0" borderId="7" xfId="0" applyFont="1" applyBorder="1"/>
    <xf numFmtId="0" fontId="0" fillId="0" borderId="31" xfId="0" applyFont="1" applyBorder="1"/>
    <xf numFmtId="0" fontId="9" fillId="0" borderId="43" xfId="0" applyFont="1" applyBorder="1"/>
    <xf numFmtId="0" fontId="9" fillId="0" borderId="44" xfId="0" applyFont="1" applyBorder="1"/>
    <xf numFmtId="0" fontId="11" fillId="0" borderId="31" xfId="0" applyFont="1" applyBorder="1" applyAlignment="1">
      <alignment horizontal="left" vertical="top" wrapText="1"/>
    </xf>
    <xf numFmtId="0" fontId="0" fillId="0" borderId="31" xfId="0" applyBorder="1"/>
    <xf numFmtId="0" fontId="11" fillId="0" borderId="43" xfId="0" applyFont="1" applyBorder="1" applyAlignment="1">
      <alignment horizontal="left" vertical="top" wrapText="1"/>
    </xf>
    <xf numFmtId="0" fontId="11" fillId="0" borderId="44" xfId="0" applyFont="1" applyBorder="1" applyAlignment="1">
      <alignment horizontal="left" vertical="top" wrapText="1"/>
    </xf>
    <xf numFmtId="0" fontId="0" fillId="0" borderId="43" xfId="0" applyBorder="1"/>
    <xf numFmtId="0" fontId="0" fillId="0" borderId="44" xfId="0" applyBorder="1"/>
    <xf numFmtId="0" fontId="19" fillId="5" borderId="2" xfId="0" applyFont="1" applyFill="1" applyBorder="1"/>
    <xf numFmtId="0" fontId="0" fillId="0" borderId="49" xfId="0" applyFont="1" applyBorder="1"/>
    <xf numFmtId="0" fontId="19" fillId="9" borderId="2" xfId="0" applyFont="1" applyFill="1" applyBorder="1"/>
    <xf numFmtId="0" fontId="0" fillId="9" borderId="2" xfId="0" applyFont="1" applyFill="1" applyBorder="1"/>
    <xf numFmtId="0" fontId="0" fillId="10" borderId="2" xfId="0" applyFont="1" applyFill="1" applyBorder="1"/>
    <xf numFmtId="0" fontId="19" fillId="11" borderId="2" xfId="0" applyFont="1" applyFill="1" applyBorder="1"/>
    <xf numFmtId="0" fontId="19" fillId="8" borderId="4" xfId="0" applyFont="1" applyFill="1" applyBorder="1"/>
    <xf numFmtId="0" fontId="0" fillId="0" borderId="7" xfId="0" applyFont="1" applyFill="1" applyBorder="1"/>
    <xf numFmtId="0" fontId="19" fillId="9" borderId="47" xfId="0" applyFont="1" applyFill="1" applyBorder="1"/>
    <xf numFmtId="0" fontId="17" fillId="11" borderId="2" xfId="0" applyFont="1" applyFill="1" applyBorder="1"/>
    <xf numFmtId="0" fontId="11" fillId="12" borderId="21" xfId="0" applyFont="1" applyFill="1" applyBorder="1" applyAlignment="1">
      <alignment horizontal="left" vertical="top" wrapText="1"/>
    </xf>
    <xf numFmtId="0" fontId="17" fillId="12" borderId="2" xfId="0" applyFont="1" applyFill="1" applyBorder="1"/>
    <xf numFmtId="0" fontId="0" fillId="12" borderId="2" xfId="0" applyFont="1" applyFill="1" applyBorder="1"/>
    <xf numFmtId="0" fontId="0" fillId="12" borderId="0" xfId="0" applyFont="1" applyFill="1" applyAlignment="1"/>
    <xf numFmtId="0" fontId="17" fillId="12" borderId="45" xfId="0" applyFont="1" applyFill="1" applyBorder="1" applyAlignment="1"/>
    <xf numFmtId="0" fontId="17" fillId="12" borderId="46" xfId="0" applyFont="1" applyFill="1" applyBorder="1" applyAlignment="1"/>
    <xf numFmtId="0" fontId="0" fillId="12" borderId="4" xfId="0" applyFont="1" applyFill="1" applyBorder="1"/>
    <xf numFmtId="0" fontId="17" fillId="12" borderId="6" xfId="0" applyFont="1" applyFill="1" applyBorder="1"/>
    <xf numFmtId="0" fontId="0" fillId="12" borderId="31" xfId="0" applyFont="1" applyFill="1" applyBorder="1"/>
    <xf numFmtId="0" fontId="0" fillId="12" borderId="47" xfId="0" applyFont="1" applyFill="1" applyBorder="1"/>
    <xf numFmtId="0" fontId="17" fillId="12" borderId="47" xfId="0" applyFont="1" applyFill="1" applyBorder="1"/>
    <xf numFmtId="0" fontId="0" fillId="12" borderId="44" xfId="0" applyFont="1" applyFill="1" applyBorder="1"/>
    <xf numFmtId="0" fontId="17" fillId="12" borderId="31" xfId="0" applyFont="1" applyFill="1" applyBorder="1"/>
    <xf numFmtId="0" fontId="17" fillId="13" borderId="0" xfId="0" applyFont="1" applyFill="1" applyAlignment="1"/>
    <xf numFmtId="0" fontId="17" fillId="13" borderId="2" xfId="0" applyFont="1" applyFill="1" applyBorder="1"/>
    <xf numFmtId="0" fontId="0" fillId="13" borderId="2" xfId="0" applyFont="1" applyFill="1" applyBorder="1"/>
    <xf numFmtId="0" fontId="0" fillId="13" borderId="0" xfId="0" applyFont="1" applyFill="1" applyAlignment="1"/>
    <xf numFmtId="0" fontId="0" fillId="13" borderId="4" xfId="0" applyFont="1" applyFill="1" applyBorder="1"/>
    <xf numFmtId="0" fontId="17" fillId="13" borderId="45" xfId="0" applyFont="1" applyFill="1" applyBorder="1" applyAlignment="1"/>
    <xf numFmtId="0" fontId="17" fillId="13" borderId="31" xfId="0" applyFont="1" applyFill="1" applyBorder="1"/>
    <xf numFmtId="0" fontId="17" fillId="13" borderId="47" xfId="0" applyFont="1" applyFill="1" applyBorder="1" applyAlignment="1"/>
    <xf numFmtId="0" fontId="17" fillId="13" borderId="44" xfId="0" applyFont="1" applyFill="1" applyBorder="1"/>
    <xf numFmtId="0" fontId="17" fillId="13" borderId="4" xfId="0" applyFont="1" applyFill="1" applyBorder="1"/>
    <xf numFmtId="0" fontId="0" fillId="13" borderId="44" xfId="0" applyFont="1" applyFill="1" applyBorder="1"/>
    <xf numFmtId="0" fontId="10" fillId="13" borderId="2" xfId="0" applyFont="1" applyFill="1" applyBorder="1"/>
    <xf numFmtId="0" fontId="0" fillId="13" borderId="14" xfId="0" applyFont="1" applyFill="1" applyBorder="1" applyAlignment="1"/>
    <xf numFmtId="0" fontId="0" fillId="13" borderId="10" xfId="0" applyFont="1" applyFill="1" applyBorder="1"/>
    <xf numFmtId="0" fontId="17" fillId="13" borderId="48" xfId="0" applyFont="1" applyFill="1" applyBorder="1" applyAlignment="1"/>
    <xf numFmtId="0" fontId="0" fillId="13" borderId="27" xfId="0" applyFont="1" applyFill="1" applyBorder="1"/>
    <xf numFmtId="0" fontId="0" fillId="13" borderId="47" xfId="0" applyFont="1" applyFill="1" applyBorder="1" applyAlignment="1"/>
    <xf numFmtId="0" fontId="0" fillId="14" borderId="14" xfId="0" applyFont="1" applyFill="1" applyBorder="1" applyAlignment="1"/>
    <xf numFmtId="0" fontId="17" fillId="14" borderId="47" xfId="0" applyFont="1" applyFill="1" applyBorder="1" applyAlignment="1"/>
    <xf numFmtId="0" fontId="0" fillId="14" borderId="47" xfId="0" applyFont="1" applyFill="1" applyBorder="1" applyAlignment="1"/>
    <xf numFmtId="0" fontId="0" fillId="14" borderId="0" xfId="0" applyFont="1" applyFill="1" applyAlignment="1"/>
  </cellXfs>
  <cellStyles count="2">
    <cellStyle name="Обычный" xfId="0" builtinId="0"/>
    <cellStyle name="Обычный 2" xfId="1" xr:uid="{EF749E31-8181-4884-9C6A-F436E2119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9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9.109375" customWidth="1"/>
    <col min="2" max="2" width="44.5546875" customWidth="1"/>
    <col min="3" max="3" width="5.6640625" customWidth="1"/>
    <col min="4" max="4" width="58" customWidth="1"/>
    <col min="5" max="5" width="9.109375" customWidth="1"/>
    <col min="6" max="6" width="40.5546875" bestFit="1" customWidth="1"/>
    <col min="7" max="7" width="17.5546875" customWidth="1"/>
    <col min="8" max="8" width="10" customWidth="1"/>
    <col min="9" max="9" width="14.44140625" customWidth="1"/>
    <col min="10" max="10" width="13" customWidth="1"/>
    <col min="11" max="11" width="20.44140625" customWidth="1"/>
    <col min="12" max="31" width="9.109375" customWidth="1"/>
  </cols>
  <sheetData>
    <row r="1" spans="1:31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3.4" x14ac:dyDescent="0.45">
      <c r="A2" s="1"/>
      <c r="B2" s="2"/>
      <c r="C2" s="3"/>
      <c r="D2" s="3" t="s">
        <v>142</v>
      </c>
      <c r="E2" s="3"/>
      <c r="F2" s="3"/>
      <c r="G2" s="4"/>
      <c r="H2" s="3"/>
      <c r="I2" s="3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6" x14ac:dyDescent="0.3">
      <c r="A3" s="1"/>
      <c r="B3" s="5" t="s">
        <v>0</v>
      </c>
      <c r="C3" s="1"/>
      <c r="D3" s="1"/>
      <c r="E3" s="1"/>
      <c r="F3" s="1"/>
      <c r="G3" s="4"/>
      <c r="H3" s="1"/>
      <c r="I3" s="1"/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4" x14ac:dyDescent="0.3">
      <c r="A4" s="1"/>
      <c r="B4" s="6" t="s">
        <v>143</v>
      </c>
      <c r="C4" s="6"/>
      <c r="D4" s="6"/>
      <c r="E4" s="6"/>
      <c r="F4" s="6"/>
      <c r="G4" s="4"/>
      <c r="H4" s="6"/>
      <c r="I4" s="6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4" x14ac:dyDescent="0.3">
      <c r="A5" s="1"/>
      <c r="B5" s="6"/>
      <c r="C5" s="6"/>
      <c r="D5" s="6"/>
      <c r="E5" s="6"/>
      <c r="F5" s="6"/>
      <c r="G5" s="1"/>
      <c r="H5" s="6"/>
      <c r="I5" s="6"/>
      <c r="J5" s="1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4.4" x14ac:dyDescent="0.3">
      <c r="A6" s="1"/>
      <c r="B6" s="6" t="s">
        <v>1</v>
      </c>
      <c r="C6" s="6"/>
      <c r="D6" s="6"/>
      <c r="E6" s="6"/>
      <c r="F6" s="6"/>
      <c r="G6" s="1"/>
      <c r="H6" s="6"/>
      <c r="I6" s="6"/>
      <c r="J6" s="1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4.4" x14ac:dyDescent="0.3">
      <c r="A8" s="1"/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thickBot="1" x14ac:dyDescent="0.35">
      <c r="A9" s="7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7" t="s">
        <v>13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43.2" x14ac:dyDescent="0.3">
      <c r="A10" s="8"/>
      <c r="B10" s="32" t="s">
        <v>150</v>
      </c>
      <c r="C10" s="98">
        <v>1</v>
      </c>
      <c r="D10" s="99" t="s">
        <v>164</v>
      </c>
      <c r="E10" s="10">
        <v>1</v>
      </c>
      <c r="F10" s="100" t="s">
        <v>167</v>
      </c>
      <c r="G10" s="11" t="s">
        <v>170</v>
      </c>
      <c r="H10" s="10"/>
      <c r="I10" s="10"/>
      <c r="J10" s="10"/>
      <c r="K10" s="119" t="s">
        <v>14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57.6" x14ac:dyDescent="0.3">
      <c r="A11" s="8"/>
      <c r="B11" s="100" t="s">
        <v>161</v>
      </c>
      <c r="C11" s="101">
        <v>2</v>
      </c>
      <c r="D11" s="102" t="s">
        <v>165</v>
      </c>
      <c r="E11" s="10">
        <v>1.5</v>
      </c>
      <c r="F11" s="103" t="s">
        <v>168</v>
      </c>
      <c r="G11" s="11" t="s">
        <v>170</v>
      </c>
      <c r="H11" s="10"/>
      <c r="I11" s="10"/>
      <c r="J11" s="10"/>
      <c r="K11" s="120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57.6" x14ac:dyDescent="0.3">
      <c r="A12" s="8"/>
      <c r="B12" s="104" t="s">
        <v>162</v>
      </c>
      <c r="C12" s="13">
        <v>1</v>
      </c>
      <c r="D12" s="100" t="s">
        <v>166</v>
      </c>
      <c r="E12" s="10">
        <v>1</v>
      </c>
      <c r="F12" s="103" t="s">
        <v>169</v>
      </c>
      <c r="G12" s="11" t="s">
        <v>163</v>
      </c>
      <c r="H12" s="10"/>
      <c r="I12" s="10"/>
      <c r="J12" s="10"/>
      <c r="K12" s="120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4.4" x14ac:dyDescent="0.3">
      <c r="A13" s="14" t="s">
        <v>15</v>
      </c>
      <c r="B13" s="8"/>
      <c r="C13" s="15"/>
      <c r="D13" s="16"/>
      <c r="E13" s="10">
        <f>SUM(E10:E12)</f>
        <v>3.5</v>
      </c>
      <c r="F13" s="10"/>
      <c r="G13" s="17"/>
      <c r="H13" s="10"/>
      <c r="I13" s="10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4" x14ac:dyDescent="0.3">
      <c r="A14" s="1"/>
      <c r="B14" s="18"/>
      <c r="C14" s="18"/>
      <c r="D14" s="18"/>
      <c r="E14" s="18"/>
      <c r="F14" s="18"/>
      <c r="G14" s="1"/>
      <c r="H14" s="18"/>
      <c r="I14" s="18"/>
      <c r="J14" s="18"/>
      <c r="K14" s="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4.4" x14ac:dyDescent="0.3">
      <c r="A15" s="1"/>
      <c r="B15" s="18"/>
      <c r="C15" s="18"/>
      <c r="D15" s="18"/>
      <c r="E15" s="18"/>
      <c r="F15" s="18"/>
      <c r="G15" s="1"/>
      <c r="H15" s="18"/>
      <c r="I15" s="18"/>
      <c r="J15" s="18"/>
      <c r="K15" s="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4" x14ac:dyDescent="0.3">
      <c r="A16" s="1"/>
      <c r="B16" s="18"/>
      <c r="C16" s="18"/>
      <c r="D16" s="18"/>
      <c r="E16" s="18"/>
      <c r="F16" s="18"/>
      <c r="G16" s="1"/>
      <c r="H16" s="18"/>
      <c r="I16" s="18"/>
      <c r="J16" s="18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4" x14ac:dyDescent="0.3">
      <c r="A17" s="1"/>
      <c r="B17" s="18"/>
      <c r="C17" s="18"/>
      <c r="D17" s="18"/>
      <c r="E17" s="18"/>
      <c r="F17" s="18"/>
      <c r="G17" s="1"/>
      <c r="H17" s="18"/>
      <c r="I17" s="18"/>
      <c r="J17" s="18"/>
      <c r="K17" s="1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4" x14ac:dyDescent="0.3">
      <c r="A18" s="1"/>
      <c r="B18" s="18"/>
      <c r="C18" s="18"/>
      <c r="D18" s="18"/>
      <c r="E18" s="18"/>
      <c r="F18" s="18"/>
      <c r="G18" s="1"/>
      <c r="H18" s="18"/>
      <c r="I18" s="18"/>
      <c r="J18" s="18"/>
      <c r="K18" s="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4" x14ac:dyDescent="0.3">
      <c r="A19" s="1"/>
      <c r="B19" s="18"/>
      <c r="C19" s="1"/>
      <c r="D19" s="1"/>
      <c r="E19" s="1"/>
      <c r="F19" s="1"/>
      <c r="G19" s="1"/>
      <c r="H19" s="1"/>
      <c r="I19" s="18"/>
      <c r="J19" s="18"/>
      <c r="K19" s="1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customHeight="1" x14ac:dyDescent="0.3">
      <c r="A20" s="1"/>
      <c r="B20" s="18"/>
      <c r="C20" s="18"/>
      <c r="D20" s="18"/>
      <c r="E20" s="18"/>
      <c r="F20" s="18"/>
      <c r="G20" s="1"/>
      <c r="H20" s="18"/>
      <c r="I20" s="18"/>
      <c r="J20" s="18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3">
      <c r="A21" s="1"/>
      <c r="B21" s="18"/>
      <c r="C21" s="18"/>
      <c r="D21" s="18"/>
      <c r="E21" s="18"/>
      <c r="F21" s="18"/>
      <c r="G21" s="1"/>
      <c r="H21" s="18"/>
      <c r="I21" s="18"/>
      <c r="J21" s="18"/>
      <c r="K21" s="1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3">
      <c r="A22" s="1"/>
      <c r="B22" s="18"/>
      <c r="C22" s="18"/>
      <c r="D22" s="18"/>
      <c r="E22" s="18"/>
      <c r="F22" s="18"/>
      <c r="G22" s="1"/>
      <c r="H22" s="18"/>
      <c r="I22" s="18"/>
      <c r="J22" s="18"/>
      <c r="K22" s="1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3">
      <c r="A23" s="1"/>
      <c r="B23" s="18"/>
      <c r="C23" s="18"/>
      <c r="D23" s="18"/>
      <c r="E23" s="18"/>
      <c r="F23" s="18"/>
      <c r="G23" s="1"/>
      <c r="H23" s="18"/>
      <c r="I23" s="18"/>
      <c r="J23" s="18"/>
      <c r="K23" s="1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3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3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3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3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3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3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3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3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3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3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3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3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3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3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3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3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3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3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3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3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3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3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3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3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3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3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3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3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3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3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3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</sheetData>
  <mergeCells count="1">
    <mergeCell ref="K10:K1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4"/>
  <sheetViews>
    <sheetView tabSelected="1" topLeftCell="D4" workbookViewId="0">
      <selection activeCell="L12" sqref="L12:L17"/>
    </sheetView>
  </sheetViews>
  <sheetFormatPr defaultColWidth="14.44140625" defaultRowHeight="15" customHeight="1" outlineLevelRow="1" x14ac:dyDescent="0.3"/>
  <cols>
    <col min="1" max="1" width="20" bestFit="1" customWidth="1"/>
    <col min="2" max="2" width="12.44140625" customWidth="1"/>
    <col min="3" max="3" width="43.21875" customWidth="1"/>
    <col min="4" max="4" width="42.21875" customWidth="1"/>
    <col min="5" max="5" width="26.5546875" customWidth="1"/>
    <col min="6" max="6" width="17.88671875" customWidth="1"/>
    <col min="7" max="7" width="14.109375" customWidth="1"/>
    <col min="8" max="9" width="10" customWidth="1"/>
    <col min="10" max="10" width="3.33203125" customWidth="1"/>
    <col min="11" max="11" width="57.33203125" customWidth="1"/>
    <col min="12" max="27" width="8.6640625" customWidth="1"/>
  </cols>
  <sheetData>
    <row r="1" spans="1:12" ht="14.4" x14ac:dyDescent="0.3">
      <c r="A1" t="s">
        <v>151</v>
      </c>
      <c r="B1" s="19" t="s">
        <v>16</v>
      </c>
      <c r="C1" s="20" t="s">
        <v>172</v>
      </c>
      <c r="D1" s="20" t="s">
        <v>173</v>
      </c>
      <c r="E1" s="20" t="s">
        <v>174</v>
      </c>
      <c r="F1" s="21" t="s">
        <v>175</v>
      </c>
      <c r="G1" s="22" t="s">
        <v>17</v>
      </c>
      <c r="H1" s="2"/>
      <c r="I1" s="2"/>
      <c r="J1" s="121" t="s">
        <v>18</v>
      </c>
      <c r="K1" s="122"/>
      <c r="L1" s="123"/>
    </row>
    <row r="2" spans="1:12" thickBot="1" x14ac:dyDescent="0.35">
      <c r="B2" s="23"/>
      <c r="C2" s="24"/>
      <c r="D2" s="24"/>
      <c r="E2" s="24"/>
      <c r="F2" s="25"/>
      <c r="G2" s="26">
        <v>46161</v>
      </c>
      <c r="H2" s="2"/>
      <c r="I2" s="2"/>
      <c r="J2" s="27" t="s">
        <v>19</v>
      </c>
      <c r="K2" s="27" t="s">
        <v>20</v>
      </c>
      <c r="L2" s="27" t="s">
        <v>21</v>
      </c>
    </row>
    <row r="3" spans="1:12" ht="26.4" x14ac:dyDescent="0.3">
      <c r="A3" s="149" t="s">
        <v>150</v>
      </c>
      <c r="B3" s="150" t="s">
        <v>145</v>
      </c>
      <c r="C3" s="151"/>
      <c r="D3" s="151"/>
      <c r="E3" s="151"/>
      <c r="F3" s="151"/>
      <c r="G3" s="139"/>
      <c r="H3" s="2"/>
      <c r="I3" s="2"/>
      <c r="J3" s="8"/>
      <c r="K3" s="8"/>
      <c r="L3" s="8"/>
    </row>
    <row r="4" spans="1:12" ht="18.600000000000001" customHeight="1" x14ac:dyDescent="0.3">
      <c r="A4" s="152"/>
      <c r="B4" s="151"/>
      <c r="C4" s="150" t="s">
        <v>146</v>
      </c>
      <c r="D4" s="151" t="s">
        <v>171</v>
      </c>
      <c r="E4" s="151" t="s">
        <v>176</v>
      </c>
      <c r="F4" s="151" t="s">
        <v>180</v>
      </c>
      <c r="G4" s="141"/>
      <c r="H4" s="2"/>
      <c r="I4" s="2"/>
      <c r="J4" s="8"/>
      <c r="K4" s="8"/>
      <c r="L4" s="8"/>
    </row>
    <row r="5" spans="1:12" ht="14.4" hidden="1" outlineLevel="1" x14ac:dyDescent="0.3">
      <c r="A5" s="152"/>
      <c r="B5" s="151"/>
      <c r="C5" s="151"/>
      <c r="D5" s="151" t="s">
        <v>22</v>
      </c>
      <c r="E5" s="151"/>
      <c r="F5" s="151"/>
      <c r="G5" s="141"/>
      <c r="H5" s="2"/>
      <c r="I5" s="2"/>
      <c r="J5" s="8"/>
      <c r="K5" s="8"/>
      <c r="L5" s="8"/>
    </row>
    <row r="6" spans="1:12" ht="14.4" hidden="1" outlineLevel="1" x14ac:dyDescent="0.3">
      <c r="A6" s="152"/>
      <c r="B6" s="151"/>
      <c r="C6" s="151"/>
      <c r="D6" s="151" t="s">
        <v>23</v>
      </c>
      <c r="E6" s="151"/>
      <c r="F6" s="151"/>
      <c r="G6" s="141"/>
      <c r="H6" s="2"/>
      <c r="I6" s="2"/>
      <c r="J6" s="8"/>
      <c r="K6" s="8"/>
      <c r="L6" s="8"/>
    </row>
    <row r="7" spans="1:12" ht="14.4" hidden="1" outlineLevel="1" x14ac:dyDescent="0.3">
      <c r="A7" s="152"/>
      <c r="B7" s="151"/>
      <c r="C7" s="151"/>
      <c r="D7" s="151" t="s">
        <v>24</v>
      </c>
      <c r="E7" s="151"/>
      <c r="F7" s="151"/>
      <c r="G7" s="141"/>
      <c r="H7" s="2"/>
      <c r="I7" s="2"/>
      <c r="J7" s="8"/>
      <c r="K7" s="8"/>
      <c r="L7" s="8"/>
    </row>
    <row r="8" spans="1:12" ht="14.4" hidden="1" outlineLevel="1" x14ac:dyDescent="0.3">
      <c r="A8" s="152"/>
      <c r="B8" s="151"/>
      <c r="C8" s="151"/>
      <c r="D8" s="151" t="s">
        <v>25</v>
      </c>
      <c r="E8" s="151"/>
      <c r="F8" s="151"/>
      <c r="G8" s="144">
        <v>1</v>
      </c>
      <c r="H8" s="2"/>
      <c r="I8" s="2"/>
      <c r="J8" s="8">
        <v>1</v>
      </c>
      <c r="K8" s="8" t="s">
        <v>26</v>
      </c>
      <c r="L8" s="8" t="s">
        <v>27</v>
      </c>
    </row>
    <row r="9" spans="1:12" ht="14.4" outlineLevel="1" x14ac:dyDescent="0.3">
      <c r="A9" s="152"/>
      <c r="B9" s="151"/>
      <c r="C9" s="153" t="s">
        <v>177</v>
      </c>
      <c r="D9" s="151" t="s">
        <v>178</v>
      </c>
      <c r="E9" s="151" t="s">
        <v>179</v>
      </c>
      <c r="F9" s="151" t="s">
        <v>180</v>
      </c>
      <c r="G9" s="141"/>
      <c r="H9" s="2"/>
      <c r="I9" s="2"/>
      <c r="J9" s="8"/>
      <c r="K9" s="108"/>
      <c r="L9" s="108"/>
    </row>
    <row r="10" spans="1:12" ht="14.4" outlineLevel="1" x14ac:dyDescent="0.3">
      <c r="A10" s="152"/>
      <c r="B10" s="151"/>
      <c r="C10" s="154" t="s">
        <v>147</v>
      </c>
      <c r="D10" s="151" t="s">
        <v>181</v>
      </c>
      <c r="E10" s="151" t="s">
        <v>182</v>
      </c>
      <c r="F10" s="151" t="s">
        <v>183</v>
      </c>
      <c r="G10" s="145"/>
      <c r="H10" s="2"/>
      <c r="I10" s="2"/>
      <c r="J10" s="86">
        <v>1</v>
      </c>
      <c r="K10" s="109" t="s">
        <v>131</v>
      </c>
      <c r="L10" s="109" t="s">
        <v>29</v>
      </c>
    </row>
    <row r="11" spans="1:12" ht="14.4" outlineLevel="1" x14ac:dyDescent="0.3">
      <c r="A11" s="152"/>
      <c r="B11" s="155"/>
      <c r="C11" s="156" t="s">
        <v>184</v>
      </c>
      <c r="D11" s="151" t="s">
        <v>185</v>
      </c>
      <c r="E11" s="151" t="s">
        <v>186</v>
      </c>
      <c r="F11" s="157" t="s">
        <v>180</v>
      </c>
      <c r="G11" s="147"/>
      <c r="H11" s="2"/>
      <c r="I11" s="2"/>
      <c r="J11" s="86"/>
      <c r="K11" s="109"/>
      <c r="L11" s="109"/>
    </row>
    <row r="12" spans="1:12" ht="14.4" outlineLevel="1" x14ac:dyDescent="0.3">
      <c r="A12" s="152"/>
      <c r="B12" s="158"/>
      <c r="C12" s="159" t="s">
        <v>187</v>
      </c>
      <c r="D12" s="160" t="s">
        <v>188</v>
      </c>
      <c r="E12" s="151" t="s">
        <v>189</v>
      </c>
      <c r="F12" s="161" t="s">
        <v>180</v>
      </c>
      <c r="G12" s="147"/>
      <c r="H12" s="2"/>
      <c r="I12" s="2"/>
      <c r="J12" s="110"/>
      <c r="K12" s="109"/>
      <c r="L12" s="109"/>
    </row>
    <row r="13" spans="1:12" ht="14.4" outlineLevel="1" x14ac:dyDescent="0.3">
      <c r="A13" s="152"/>
      <c r="B13" s="159" t="s">
        <v>196</v>
      </c>
      <c r="C13" s="159"/>
      <c r="D13" s="160"/>
      <c r="E13" s="151"/>
      <c r="F13" s="157"/>
      <c r="G13" s="147"/>
      <c r="H13" s="2"/>
      <c r="I13" s="2"/>
      <c r="J13" s="110"/>
      <c r="K13" s="109"/>
      <c r="L13" s="109"/>
    </row>
    <row r="14" spans="1:12" ht="14.4" outlineLevel="1" x14ac:dyDescent="0.3">
      <c r="A14" s="152"/>
      <c r="B14" s="159"/>
      <c r="C14" s="159" t="s">
        <v>190</v>
      </c>
      <c r="D14" s="160" t="s">
        <v>191</v>
      </c>
      <c r="E14" s="151" t="s">
        <v>192</v>
      </c>
      <c r="F14" s="161" t="s">
        <v>180</v>
      </c>
      <c r="G14" s="147"/>
      <c r="H14" s="2"/>
      <c r="I14" s="2"/>
      <c r="J14" s="110"/>
      <c r="K14" s="109"/>
      <c r="L14" s="109"/>
    </row>
    <row r="15" spans="1:12" ht="14.4" outlineLevel="1" x14ac:dyDescent="0.3">
      <c r="A15" s="152"/>
      <c r="B15" s="158"/>
      <c r="C15" s="159" t="s">
        <v>193</v>
      </c>
      <c r="D15" s="160" t="s">
        <v>194</v>
      </c>
      <c r="E15" s="151" t="s">
        <v>195</v>
      </c>
      <c r="F15" s="161" t="s">
        <v>180</v>
      </c>
      <c r="G15" s="147"/>
      <c r="H15" s="2"/>
      <c r="I15" s="2"/>
      <c r="J15" s="110"/>
      <c r="K15" s="109"/>
      <c r="L15" s="109"/>
    </row>
    <row r="16" spans="1:12" ht="14.4" outlineLevel="1" x14ac:dyDescent="0.3">
      <c r="A16" s="152"/>
      <c r="B16" s="158"/>
      <c r="C16" s="159" t="s">
        <v>197</v>
      </c>
      <c r="D16" s="160" t="s">
        <v>198</v>
      </c>
      <c r="E16" s="151" t="s">
        <v>199</v>
      </c>
      <c r="F16" s="161" t="s">
        <v>180</v>
      </c>
      <c r="G16" s="147"/>
      <c r="H16" s="2"/>
      <c r="I16" s="2"/>
      <c r="J16" s="110"/>
      <c r="K16" s="109"/>
      <c r="L16" s="109"/>
    </row>
    <row r="17" spans="1:12" ht="14.4" outlineLevel="1" x14ac:dyDescent="0.3">
      <c r="B17" s="140"/>
      <c r="C17" s="115"/>
      <c r="D17" s="8"/>
      <c r="E17" s="8"/>
      <c r="F17" s="8"/>
      <c r="G17" s="146"/>
      <c r="H17" s="2"/>
      <c r="I17" s="2"/>
      <c r="J17" s="97"/>
      <c r="K17" s="109"/>
      <c r="L17" s="109"/>
    </row>
    <row r="18" spans="1:12" ht="14.4" x14ac:dyDescent="0.3">
      <c r="B18" s="109"/>
      <c r="C18" s="77"/>
      <c r="D18" s="8"/>
      <c r="E18" s="8"/>
      <c r="F18" s="8"/>
      <c r="G18" s="112"/>
      <c r="H18" s="2"/>
      <c r="I18" s="2"/>
      <c r="J18" s="97"/>
      <c r="K18" s="114"/>
      <c r="L18" s="116"/>
    </row>
    <row r="19" spans="1:12" ht="14.4" hidden="1" outlineLevel="1" x14ac:dyDescent="0.3">
      <c r="B19" s="107"/>
      <c r="C19" s="8" t="s">
        <v>34</v>
      </c>
      <c r="D19" s="8"/>
      <c r="E19" s="8"/>
      <c r="F19" s="8"/>
      <c r="G19" s="29">
        <v>6</v>
      </c>
      <c r="H19" s="2"/>
      <c r="I19" s="2"/>
      <c r="J19" s="8">
        <v>3</v>
      </c>
      <c r="K19" s="107" t="s">
        <v>28</v>
      </c>
      <c r="L19" s="8" t="s">
        <v>29</v>
      </c>
    </row>
    <row r="20" spans="1:12" ht="14.4" hidden="1" outlineLevel="1" x14ac:dyDescent="0.3">
      <c r="B20" s="8"/>
      <c r="C20" s="8"/>
      <c r="D20" s="8" t="s">
        <v>35</v>
      </c>
      <c r="E20" s="8" t="s">
        <v>36</v>
      </c>
      <c r="F20" s="8"/>
      <c r="G20" s="28"/>
      <c r="H20" s="2"/>
      <c r="I20" s="2"/>
      <c r="J20" s="8"/>
      <c r="K20" s="8"/>
      <c r="L20" s="8"/>
    </row>
    <row r="21" spans="1:12" ht="14.4" hidden="1" outlineLevel="1" x14ac:dyDescent="0.3">
      <c r="B21" s="8"/>
      <c r="C21" s="8"/>
      <c r="D21" s="8">
        <v>1234567890</v>
      </c>
      <c r="E21" s="8"/>
      <c r="F21" s="8"/>
      <c r="G21" s="28"/>
      <c r="H21" s="2"/>
      <c r="I21" s="2"/>
      <c r="J21" s="8"/>
      <c r="K21" s="8"/>
      <c r="L21" s="8"/>
    </row>
    <row r="22" spans="1:12" ht="14.4" hidden="1" outlineLevel="1" x14ac:dyDescent="0.3">
      <c r="B22" s="8"/>
      <c r="C22" s="8"/>
      <c r="D22" s="8" t="s">
        <v>37</v>
      </c>
      <c r="E22" s="8"/>
      <c r="F22" s="8"/>
      <c r="G22" s="28"/>
      <c r="H22" s="2"/>
      <c r="I22" s="2"/>
      <c r="J22" s="8"/>
      <c r="K22" s="8"/>
      <c r="L22" s="8"/>
    </row>
    <row r="23" spans="1:12" ht="14.4" hidden="1" outlineLevel="1" x14ac:dyDescent="0.3">
      <c r="B23" s="8"/>
      <c r="C23" s="8"/>
      <c r="D23" s="8" t="s">
        <v>38</v>
      </c>
      <c r="E23" s="8"/>
      <c r="F23" s="8"/>
      <c r="G23" s="28"/>
      <c r="H23" s="2"/>
      <c r="I23" s="2"/>
      <c r="J23" s="8"/>
      <c r="K23" s="8"/>
      <c r="L23" s="8"/>
    </row>
    <row r="24" spans="1:12" ht="14.4" hidden="1" outlineLevel="1" x14ac:dyDescent="0.3">
      <c r="B24" s="8"/>
      <c r="C24" s="8"/>
      <c r="D24" s="8" t="s">
        <v>39</v>
      </c>
      <c r="E24" s="8"/>
      <c r="F24" s="8"/>
      <c r="G24" s="28"/>
      <c r="H24" s="2"/>
      <c r="I24" s="2"/>
      <c r="J24" s="8"/>
      <c r="K24" s="8"/>
      <c r="L24" s="8"/>
    </row>
    <row r="25" spans="1:12" ht="14.4" hidden="1" outlineLevel="1" x14ac:dyDescent="0.3">
      <c r="B25" s="8"/>
      <c r="C25" s="8"/>
      <c r="D25" s="8" t="s">
        <v>40</v>
      </c>
      <c r="E25" s="8"/>
      <c r="F25" s="8"/>
      <c r="G25" s="28"/>
      <c r="H25" s="2"/>
      <c r="I25" s="2"/>
      <c r="J25" s="8"/>
      <c r="K25" s="8"/>
      <c r="L25" s="8"/>
    </row>
    <row r="26" spans="1:12" ht="14.4" hidden="1" outlineLevel="1" x14ac:dyDescent="0.3">
      <c r="B26" s="8"/>
      <c r="C26" s="8"/>
      <c r="D26" s="8" t="s">
        <v>41</v>
      </c>
      <c r="E26" s="8"/>
      <c r="F26" s="8"/>
      <c r="G26" s="28"/>
      <c r="H26" s="2"/>
      <c r="I26" s="2"/>
      <c r="J26" s="8"/>
      <c r="K26" s="8"/>
      <c r="L26" s="8"/>
    </row>
    <row r="27" spans="1:12" ht="15.75" hidden="1" customHeight="1" outlineLevel="1" x14ac:dyDescent="0.3">
      <c r="B27" s="8"/>
      <c r="C27" s="8"/>
      <c r="D27" s="8" t="s">
        <v>42</v>
      </c>
      <c r="E27" s="8"/>
      <c r="F27" s="8"/>
      <c r="G27" s="28"/>
      <c r="H27" s="2"/>
      <c r="I27" s="2"/>
      <c r="J27" s="8">
        <v>4</v>
      </c>
      <c r="K27" s="8" t="s">
        <v>30</v>
      </c>
      <c r="L27" s="8" t="s">
        <v>31</v>
      </c>
    </row>
    <row r="28" spans="1:12" ht="15.75" customHeight="1" outlineLevel="1" x14ac:dyDescent="0.3">
      <c r="B28" s="8"/>
      <c r="C28" s="8"/>
      <c r="D28" s="8"/>
      <c r="E28" s="8"/>
      <c r="F28" s="8"/>
      <c r="G28" s="111"/>
      <c r="H28" s="2"/>
      <c r="I28" s="2"/>
      <c r="J28" s="8"/>
      <c r="K28" s="8"/>
      <c r="L28" s="8"/>
    </row>
    <row r="29" spans="1:12" ht="15.75" customHeight="1" outlineLevel="1" x14ac:dyDescent="0.3">
      <c r="B29" s="8"/>
      <c r="C29" s="8"/>
      <c r="D29" s="8"/>
      <c r="E29" s="8"/>
      <c r="F29" s="8"/>
      <c r="G29" s="143"/>
      <c r="H29" s="2"/>
      <c r="I29" s="2"/>
      <c r="J29" s="8"/>
      <c r="K29" s="8"/>
      <c r="L29" s="8"/>
    </row>
    <row r="30" spans="1:12" ht="15.75" customHeight="1" x14ac:dyDescent="0.3">
      <c r="A30" s="162" t="s">
        <v>161</v>
      </c>
      <c r="B30" s="163" t="s">
        <v>200</v>
      </c>
      <c r="C30" s="164"/>
      <c r="D30" s="164"/>
      <c r="E30" s="164"/>
      <c r="F30" s="164"/>
      <c r="G30" s="142"/>
      <c r="H30" s="2"/>
      <c r="I30" s="2"/>
      <c r="J30" s="8"/>
      <c r="K30" s="8"/>
      <c r="L30" s="8"/>
    </row>
    <row r="31" spans="1:12" ht="15.75" hidden="1" customHeight="1" outlineLevel="1" x14ac:dyDescent="0.3">
      <c r="A31" s="165"/>
      <c r="B31" s="164"/>
      <c r="C31" s="164"/>
      <c r="D31" s="164">
        <v>1</v>
      </c>
      <c r="E31" s="164"/>
      <c r="F31" s="164"/>
      <c r="G31" s="142"/>
      <c r="H31" s="2"/>
      <c r="I31" s="2"/>
      <c r="J31" s="8">
        <v>5</v>
      </c>
      <c r="K31" s="8" t="s">
        <v>33</v>
      </c>
      <c r="L31" s="8" t="s">
        <v>29</v>
      </c>
    </row>
    <row r="32" spans="1:12" ht="15.75" hidden="1" customHeight="1" outlineLevel="1" x14ac:dyDescent="0.3">
      <c r="A32" s="165"/>
      <c r="B32" s="164"/>
      <c r="C32" s="164"/>
      <c r="D32" s="164">
        <v>12</v>
      </c>
      <c r="E32" s="164"/>
      <c r="F32" s="164"/>
      <c r="G32" s="142"/>
      <c r="H32" s="2"/>
      <c r="I32" s="2"/>
      <c r="J32" s="8"/>
      <c r="K32" s="8"/>
      <c r="L32" s="8"/>
    </row>
    <row r="33" spans="1:12" ht="15.75" hidden="1" customHeight="1" outlineLevel="1" x14ac:dyDescent="0.3">
      <c r="A33" s="165"/>
      <c r="B33" s="164"/>
      <c r="C33" s="164"/>
      <c r="D33" s="164">
        <v>123</v>
      </c>
      <c r="E33" s="164"/>
      <c r="F33" s="164"/>
      <c r="G33" s="142"/>
      <c r="H33" s="2"/>
      <c r="I33" s="2"/>
      <c r="J33" s="8"/>
      <c r="K33" s="8"/>
      <c r="L33" s="8"/>
    </row>
    <row r="34" spans="1:12" ht="15.75" customHeight="1" outlineLevel="1" x14ac:dyDescent="0.3">
      <c r="A34" s="165"/>
      <c r="B34" s="164"/>
      <c r="C34" s="166" t="s">
        <v>201</v>
      </c>
      <c r="D34" s="163" t="s">
        <v>204</v>
      </c>
      <c r="E34" s="164" t="s">
        <v>202</v>
      </c>
      <c r="F34" s="163" t="s">
        <v>180</v>
      </c>
      <c r="G34" s="142"/>
      <c r="H34" s="2"/>
      <c r="I34" s="2"/>
      <c r="J34" s="8"/>
      <c r="K34" s="8"/>
      <c r="L34" s="8"/>
    </row>
    <row r="35" spans="1:12" ht="15.75" customHeight="1" outlineLevel="1" x14ac:dyDescent="0.3">
      <c r="A35" s="165"/>
      <c r="B35" s="164"/>
      <c r="C35" s="167" t="s">
        <v>203</v>
      </c>
      <c r="D35" s="163" t="s">
        <v>204</v>
      </c>
      <c r="E35" s="164" t="s">
        <v>205</v>
      </c>
      <c r="F35" s="163" t="s">
        <v>180</v>
      </c>
      <c r="G35" s="142"/>
      <c r="H35" s="2"/>
      <c r="I35" s="2"/>
      <c r="J35" s="8"/>
      <c r="K35" s="8"/>
      <c r="L35" s="8"/>
    </row>
    <row r="36" spans="1:12" ht="15.75" customHeight="1" outlineLevel="1" x14ac:dyDescent="0.3">
      <c r="A36" s="165"/>
      <c r="B36" s="168" t="s">
        <v>206</v>
      </c>
      <c r="C36" s="169"/>
      <c r="D36" s="170"/>
      <c r="E36" s="164"/>
      <c r="F36" s="164"/>
      <c r="G36" s="142"/>
      <c r="H36" s="2"/>
      <c r="I36" s="2"/>
      <c r="J36" s="8"/>
      <c r="K36" s="8"/>
      <c r="L36" s="8"/>
    </row>
    <row r="37" spans="1:12" ht="15.75" customHeight="1" outlineLevel="1" x14ac:dyDescent="0.3">
      <c r="A37" s="165"/>
      <c r="B37" s="164"/>
      <c r="C37" s="162" t="s">
        <v>148</v>
      </c>
      <c r="D37" s="163" t="s">
        <v>208</v>
      </c>
      <c r="E37" s="164" t="s">
        <v>207</v>
      </c>
      <c r="F37" s="163" t="s">
        <v>180</v>
      </c>
      <c r="G37" s="142"/>
      <c r="H37" s="2"/>
      <c r="I37" s="2"/>
      <c r="J37" s="8"/>
      <c r="K37" s="8"/>
      <c r="L37" s="8"/>
    </row>
    <row r="38" spans="1:12" ht="15.75" customHeight="1" outlineLevel="1" x14ac:dyDescent="0.3">
      <c r="A38" s="165"/>
      <c r="B38" s="164"/>
      <c r="C38" s="163" t="s">
        <v>209</v>
      </c>
      <c r="D38" s="164" t="s">
        <v>210</v>
      </c>
      <c r="E38" s="164" t="s">
        <v>211</v>
      </c>
      <c r="F38" s="163" t="s">
        <v>180</v>
      </c>
      <c r="G38" s="142"/>
      <c r="H38" s="2"/>
      <c r="I38" s="2"/>
      <c r="J38" s="8"/>
      <c r="K38" s="8"/>
      <c r="L38" s="8"/>
    </row>
    <row r="39" spans="1:12" ht="15.75" customHeight="1" outlineLevel="1" x14ac:dyDescent="0.3">
      <c r="A39" s="165"/>
      <c r="B39" s="163" t="s">
        <v>212</v>
      </c>
      <c r="C39" s="163"/>
      <c r="D39" s="164"/>
      <c r="E39" s="164"/>
      <c r="F39" s="164"/>
      <c r="G39" s="142"/>
      <c r="H39" s="2"/>
      <c r="I39" s="2"/>
      <c r="J39" s="8"/>
      <c r="K39" s="8"/>
      <c r="L39" s="8"/>
    </row>
    <row r="40" spans="1:12" ht="15.75" customHeight="1" x14ac:dyDescent="0.3">
      <c r="A40" s="165"/>
      <c r="B40" s="164"/>
      <c r="C40" s="163" t="s">
        <v>213</v>
      </c>
      <c r="D40" s="163" t="s">
        <v>214</v>
      </c>
      <c r="E40" s="164" t="s">
        <v>215</v>
      </c>
      <c r="F40" s="163" t="s">
        <v>183</v>
      </c>
      <c r="G40" s="106"/>
      <c r="H40" s="2"/>
      <c r="I40" s="2"/>
      <c r="J40" s="8">
        <v>2</v>
      </c>
      <c r="K40" s="100" t="s">
        <v>149</v>
      </c>
      <c r="L40" s="109" t="s">
        <v>29</v>
      </c>
    </row>
    <row r="41" spans="1:12" ht="15.75" customHeight="1" outlineLevel="1" x14ac:dyDescent="0.3">
      <c r="A41" s="165"/>
      <c r="B41" s="163" t="s">
        <v>216</v>
      </c>
      <c r="C41" s="164"/>
      <c r="D41" s="164"/>
      <c r="E41" s="164"/>
      <c r="F41" s="164"/>
      <c r="G41" s="111"/>
      <c r="H41" s="2"/>
      <c r="I41" s="2"/>
      <c r="J41" s="8"/>
      <c r="K41" s="8"/>
      <c r="L41" s="8"/>
    </row>
    <row r="42" spans="1:12" ht="15.75" customHeight="1" outlineLevel="1" x14ac:dyDescent="0.3">
      <c r="A42" s="165"/>
      <c r="B42" s="171"/>
      <c r="C42" s="164" t="s">
        <v>217</v>
      </c>
      <c r="D42" s="164" t="s">
        <v>218</v>
      </c>
      <c r="E42" s="164" t="s">
        <v>219</v>
      </c>
      <c r="F42" s="163" t="s">
        <v>180</v>
      </c>
      <c r="G42" s="111"/>
      <c r="H42" s="2"/>
      <c r="I42" s="2"/>
      <c r="J42" s="8"/>
      <c r="K42" s="8"/>
      <c r="L42" s="8"/>
    </row>
    <row r="43" spans="1:12" ht="15.75" customHeight="1" outlineLevel="1" x14ac:dyDescent="0.3">
      <c r="A43" s="165"/>
      <c r="B43" s="166"/>
      <c r="C43" s="164" t="s">
        <v>220</v>
      </c>
      <c r="D43" s="164" t="s">
        <v>221</v>
      </c>
      <c r="E43" s="164" t="s">
        <v>222</v>
      </c>
      <c r="F43" s="163" t="s">
        <v>180</v>
      </c>
      <c r="G43" s="111"/>
      <c r="H43" s="2"/>
      <c r="I43" s="2"/>
      <c r="J43" s="8"/>
      <c r="K43" s="8"/>
      <c r="L43" s="8"/>
    </row>
    <row r="44" spans="1:12" ht="15.75" customHeight="1" outlineLevel="1" x14ac:dyDescent="0.3">
      <c r="A44" s="165"/>
      <c r="B44" s="169" t="s">
        <v>144</v>
      </c>
      <c r="C44" s="172"/>
      <c r="D44" s="173"/>
      <c r="E44" s="164"/>
      <c r="F44" s="164"/>
      <c r="G44" s="148"/>
      <c r="H44" s="2"/>
      <c r="I44" s="2"/>
      <c r="J44" s="8"/>
      <c r="K44" s="8"/>
      <c r="L44" s="8"/>
    </row>
    <row r="45" spans="1:12" ht="15.75" customHeight="1" outlineLevel="1" x14ac:dyDescent="0.3">
      <c r="A45" s="174"/>
      <c r="B45" s="175"/>
      <c r="C45" s="176" t="s">
        <v>223</v>
      </c>
      <c r="D45" s="177" t="s">
        <v>224</v>
      </c>
      <c r="E45" s="166" t="s">
        <v>222</v>
      </c>
      <c r="F45" s="171" t="s">
        <v>183</v>
      </c>
      <c r="G45" s="118"/>
      <c r="H45" s="2"/>
      <c r="I45" s="2"/>
      <c r="J45" s="8">
        <v>3</v>
      </c>
      <c r="K45" s="105" t="s">
        <v>141</v>
      </c>
      <c r="L45" s="8" t="s">
        <v>76</v>
      </c>
    </row>
    <row r="46" spans="1:12" ht="15.75" customHeight="1" x14ac:dyDescent="0.3">
      <c r="A46" s="174"/>
      <c r="B46" s="169" t="s">
        <v>225</v>
      </c>
      <c r="C46" s="178"/>
      <c r="D46" s="178"/>
      <c r="E46" s="178"/>
      <c r="F46" s="178"/>
      <c r="G46" s="113"/>
    </row>
    <row r="47" spans="1:12" ht="15.75" customHeight="1" x14ac:dyDescent="0.3">
      <c r="A47" s="174"/>
      <c r="B47" s="178"/>
      <c r="C47" s="178" t="s">
        <v>226</v>
      </c>
      <c r="D47" s="178" t="s">
        <v>227</v>
      </c>
      <c r="E47" s="178" t="s">
        <v>228</v>
      </c>
      <c r="F47" s="169" t="s">
        <v>180</v>
      </c>
      <c r="G47" s="113"/>
    </row>
    <row r="48" spans="1:12" ht="15.75" customHeight="1" x14ac:dyDescent="0.3">
      <c r="A48" s="117"/>
      <c r="B48" s="113"/>
      <c r="C48" s="113"/>
      <c r="D48" s="113"/>
      <c r="E48" s="113"/>
      <c r="F48" s="113"/>
      <c r="G48" s="113"/>
    </row>
    <row r="49" spans="1:7" ht="15.75" customHeight="1" x14ac:dyDescent="0.3">
      <c r="A49" s="179" t="s">
        <v>162</v>
      </c>
      <c r="B49" s="180" t="s">
        <v>229</v>
      </c>
      <c r="C49" s="181"/>
      <c r="D49" s="181"/>
      <c r="E49" s="181"/>
      <c r="F49" s="181"/>
      <c r="G49" s="113"/>
    </row>
    <row r="50" spans="1:7" ht="15.75" customHeight="1" x14ac:dyDescent="0.3">
      <c r="A50" s="179"/>
      <c r="B50" s="180"/>
      <c r="C50" s="181" t="s">
        <v>230</v>
      </c>
      <c r="D50" s="180" t="s">
        <v>231</v>
      </c>
      <c r="E50" s="180" t="s">
        <v>240</v>
      </c>
      <c r="F50" s="180" t="s">
        <v>180</v>
      </c>
      <c r="G50" s="113"/>
    </row>
    <row r="51" spans="1:7" ht="15.75" customHeight="1" x14ac:dyDescent="0.3">
      <c r="A51" s="179"/>
      <c r="B51" s="180"/>
      <c r="C51" s="180" t="s">
        <v>232</v>
      </c>
      <c r="D51" s="180" t="s">
        <v>233</v>
      </c>
      <c r="E51" s="180" t="s">
        <v>241</v>
      </c>
      <c r="F51" s="180" t="s">
        <v>180</v>
      </c>
      <c r="G51" s="113"/>
    </row>
    <row r="52" spans="1:7" ht="15.75" customHeight="1" x14ac:dyDescent="0.3">
      <c r="A52" s="179"/>
      <c r="B52" s="180"/>
      <c r="C52" s="180" t="s">
        <v>234</v>
      </c>
      <c r="D52" s="180" t="s">
        <v>235</v>
      </c>
      <c r="E52" s="180" t="s">
        <v>242</v>
      </c>
      <c r="F52" s="180" t="s">
        <v>180</v>
      </c>
      <c r="G52" s="113"/>
    </row>
    <row r="53" spans="1:7" ht="15.75" customHeight="1" x14ac:dyDescent="0.3">
      <c r="A53" s="179"/>
      <c r="B53" s="180"/>
      <c r="C53" s="180" t="s">
        <v>236</v>
      </c>
      <c r="D53" s="180" t="s">
        <v>237</v>
      </c>
      <c r="E53" s="180" t="s">
        <v>243</v>
      </c>
      <c r="F53" s="180" t="s">
        <v>180</v>
      </c>
      <c r="G53" s="113"/>
    </row>
    <row r="54" spans="1:7" ht="15.75" customHeight="1" x14ac:dyDescent="0.3">
      <c r="A54" s="179"/>
      <c r="B54" s="180"/>
      <c r="C54" s="180" t="s">
        <v>238</v>
      </c>
      <c r="D54" s="180" t="s">
        <v>239</v>
      </c>
      <c r="E54" s="180" t="s">
        <v>244</v>
      </c>
      <c r="F54" s="180" t="s">
        <v>180</v>
      </c>
      <c r="G54" s="113"/>
    </row>
    <row r="55" spans="1:7" ht="15.75" customHeight="1" x14ac:dyDescent="0.3">
      <c r="A55" s="179"/>
      <c r="B55" s="180" t="s">
        <v>245</v>
      </c>
      <c r="C55" s="181"/>
      <c r="D55" s="181"/>
      <c r="E55" s="181"/>
      <c r="F55" s="181"/>
      <c r="G55" s="113"/>
    </row>
    <row r="56" spans="1:7" ht="15.75" customHeight="1" x14ac:dyDescent="0.3">
      <c r="A56" s="182"/>
      <c r="B56" s="181"/>
      <c r="C56" s="181" t="s">
        <v>246</v>
      </c>
      <c r="D56" s="180" t="s">
        <v>247</v>
      </c>
      <c r="E56" s="181" t="s">
        <v>248</v>
      </c>
      <c r="F56" s="180" t="s">
        <v>180</v>
      </c>
      <c r="G56" s="113"/>
    </row>
    <row r="57" spans="1:7" ht="15.75" customHeight="1" x14ac:dyDescent="0.3">
      <c r="A57" s="182"/>
      <c r="B57" s="181"/>
      <c r="C57" s="181" t="s">
        <v>249</v>
      </c>
      <c r="D57" s="181" t="s">
        <v>250</v>
      </c>
      <c r="E57" s="181" t="s">
        <v>251</v>
      </c>
      <c r="F57" s="180" t="s">
        <v>180</v>
      </c>
      <c r="G57" s="113"/>
    </row>
    <row r="58" spans="1:7" ht="15.75" customHeight="1" x14ac:dyDescent="0.3">
      <c r="A58" s="182"/>
      <c r="B58" s="180" t="s">
        <v>252</v>
      </c>
      <c r="C58" s="181"/>
      <c r="D58" s="181"/>
      <c r="E58" s="181"/>
      <c r="F58" s="181"/>
      <c r="G58" s="113"/>
    </row>
    <row r="59" spans="1:7" ht="15.75" customHeight="1" x14ac:dyDescent="0.3">
      <c r="A59" s="182"/>
      <c r="B59" s="181"/>
      <c r="C59" s="181" t="s">
        <v>253</v>
      </c>
      <c r="D59" s="181" t="s">
        <v>254</v>
      </c>
      <c r="E59" s="181" t="s">
        <v>255</v>
      </c>
      <c r="F59" s="180" t="s">
        <v>180</v>
      </c>
      <c r="G59" s="113"/>
    </row>
    <row r="60" spans="1:7" ht="15.75" customHeight="1" x14ac:dyDescent="0.3">
      <c r="A60" s="182"/>
      <c r="B60" s="181" t="s">
        <v>256</v>
      </c>
      <c r="C60" s="181"/>
      <c r="D60" s="181"/>
      <c r="E60" s="181"/>
      <c r="F60" s="181"/>
      <c r="G60" s="113"/>
    </row>
    <row r="61" spans="1:7" ht="15.75" customHeight="1" x14ac:dyDescent="0.3">
      <c r="A61" s="182"/>
      <c r="B61" s="181"/>
      <c r="C61" s="181" t="s">
        <v>257</v>
      </c>
      <c r="D61" s="181" t="s">
        <v>258</v>
      </c>
      <c r="E61" s="181" t="s">
        <v>259</v>
      </c>
      <c r="F61" s="180" t="s">
        <v>180</v>
      </c>
      <c r="G61" s="113"/>
    </row>
    <row r="62" spans="1:7" ht="15.75" customHeight="1" x14ac:dyDescent="0.3">
      <c r="B62" s="113"/>
      <c r="C62" s="113"/>
      <c r="D62" s="113"/>
      <c r="E62" s="113"/>
      <c r="F62" s="113"/>
      <c r="G62" s="113"/>
    </row>
    <row r="63" spans="1:7" ht="15.75" customHeight="1" x14ac:dyDescent="0.3">
      <c r="B63" s="113"/>
      <c r="C63" s="113"/>
      <c r="D63" s="113"/>
      <c r="E63" s="113"/>
      <c r="F63" s="113"/>
      <c r="G63" s="113"/>
    </row>
    <row r="64" spans="1:7" ht="15.75" customHeight="1" x14ac:dyDescent="0.3">
      <c r="B64" s="113"/>
      <c r="C64" s="113"/>
      <c r="D64" s="113"/>
      <c r="E64" s="113"/>
      <c r="F64" s="113"/>
      <c r="G64" s="113"/>
    </row>
    <row r="65" spans="2:7" ht="15.75" customHeight="1" x14ac:dyDescent="0.3">
      <c r="B65" s="113"/>
      <c r="C65" s="113"/>
      <c r="D65" s="113"/>
      <c r="E65" s="113"/>
      <c r="F65" s="113"/>
      <c r="G65" s="113"/>
    </row>
    <row r="66" spans="2:7" ht="15.75" customHeight="1" x14ac:dyDescent="0.3">
      <c r="B66" s="113"/>
      <c r="C66" s="113"/>
      <c r="D66" s="113"/>
      <c r="E66" s="113"/>
      <c r="F66" s="113"/>
      <c r="G66" s="113"/>
    </row>
    <row r="67" spans="2:7" ht="15.75" customHeight="1" x14ac:dyDescent="0.3">
      <c r="B67" s="113"/>
      <c r="C67" s="113"/>
      <c r="D67" s="113"/>
      <c r="E67" s="113"/>
      <c r="F67" s="113"/>
      <c r="G67" s="113"/>
    </row>
    <row r="68" spans="2:7" ht="15.75" customHeight="1" x14ac:dyDescent="0.3">
      <c r="B68" s="113"/>
      <c r="C68" s="113"/>
      <c r="D68" s="113"/>
      <c r="E68" s="113"/>
      <c r="F68" s="113"/>
      <c r="G68" s="113"/>
    </row>
    <row r="69" spans="2:7" ht="15.75" customHeight="1" x14ac:dyDescent="0.3">
      <c r="B69" s="113"/>
      <c r="C69" s="113"/>
      <c r="D69" s="113"/>
      <c r="E69" s="113"/>
      <c r="F69" s="113"/>
      <c r="G69" s="113"/>
    </row>
    <row r="70" spans="2:7" ht="15.75" customHeight="1" x14ac:dyDescent="0.3">
      <c r="B70" s="113"/>
      <c r="C70" s="113"/>
      <c r="D70" s="113"/>
      <c r="E70" s="113"/>
      <c r="F70" s="113"/>
      <c r="G70" s="113"/>
    </row>
    <row r="71" spans="2:7" ht="15.75" customHeight="1" x14ac:dyDescent="0.3">
      <c r="B71" s="113"/>
      <c r="C71" s="113"/>
      <c r="D71" s="113"/>
      <c r="E71" s="113"/>
      <c r="F71" s="113"/>
      <c r="G71" s="113"/>
    </row>
    <row r="72" spans="2:7" ht="15.75" customHeight="1" x14ac:dyDescent="0.3">
      <c r="B72" s="113"/>
      <c r="C72" s="113"/>
      <c r="D72" s="113"/>
      <c r="E72" s="113"/>
      <c r="F72" s="113"/>
      <c r="G72" s="113"/>
    </row>
    <row r="73" spans="2:7" ht="15.75" customHeight="1" x14ac:dyDescent="0.3">
      <c r="B73" s="113"/>
      <c r="C73" s="113"/>
      <c r="D73" s="113"/>
      <c r="E73" s="113"/>
      <c r="F73" s="113"/>
      <c r="G73" s="113"/>
    </row>
    <row r="74" spans="2:7" ht="15.75" customHeight="1" x14ac:dyDescent="0.3">
      <c r="B74" s="113"/>
      <c r="C74" s="113"/>
      <c r="D74" s="113"/>
      <c r="E74" s="113"/>
      <c r="F74" s="113"/>
      <c r="G74" s="113"/>
    </row>
    <row r="75" spans="2:7" ht="15.75" customHeight="1" x14ac:dyDescent="0.3">
      <c r="B75" s="113"/>
      <c r="C75" s="113"/>
      <c r="D75" s="113"/>
      <c r="E75" s="113"/>
      <c r="F75" s="113"/>
      <c r="G75" s="113"/>
    </row>
    <row r="76" spans="2:7" ht="15.75" customHeight="1" x14ac:dyDescent="0.3">
      <c r="B76" s="113"/>
      <c r="C76" s="113"/>
      <c r="D76" s="113"/>
      <c r="E76" s="113"/>
      <c r="F76" s="113"/>
      <c r="G76" s="113"/>
    </row>
    <row r="77" spans="2:7" ht="15.75" customHeight="1" x14ac:dyDescent="0.3">
      <c r="B77" s="113"/>
      <c r="C77" s="113"/>
      <c r="D77" s="113"/>
      <c r="E77" s="113"/>
      <c r="F77" s="113"/>
      <c r="G77" s="113"/>
    </row>
    <row r="78" spans="2:7" ht="15.75" customHeight="1" x14ac:dyDescent="0.3">
      <c r="B78" s="113"/>
      <c r="C78" s="113"/>
      <c r="D78" s="113"/>
      <c r="E78" s="113"/>
      <c r="F78" s="113"/>
      <c r="G78" s="113"/>
    </row>
    <row r="79" spans="2:7" ht="15.75" customHeight="1" x14ac:dyDescent="0.3"/>
    <row r="80" spans="2:7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</sheetData>
  <autoFilter ref="B1:G45" xr:uid="{00000000-0009-0000-0000-000001000000}"/>
  <mergeCells count="1">
    <mergeCell ref="J1:L1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14.4" x14ac:dyDescent="0.3">
      <c r="A1" s="30"/>
      <c r="B1" s="31" t="s">
        <v>43</v>
      </c>
      <c r="C1" s="32" t="s">
        <v>121</v>
      </c>
      <c r="D1" s="33"/>
      <c r="E1" s="34"/>
      <c r="F1" s="31" t="s">
        <v>44</v>
      </c>
      <c r="G1" s="35" t="str">
        <f ca="1">RIGHT(CELL("имяфайла",K1),LEN(CELL("имяфайла",K1))-SEARCH("]",CELL("имяфайла",K1)))</f>
        <v>Тест-кейс 1</v>
      </c>
      <c r="H1" s="36"/>
    </row>
    <row r="2" spans="1:8" ht="14.4" x14ac:dyDescent="0.3">
      <c r="A2" s="124"/>
      <c r="B2" s="126" t="s">
        <v>45</v>
      </c>
      <c r="C2" s="128" t="s">
        <v>123</v>
      </c>
      <c r="D2" s="37"/>
      <c r="E2" s="38"/>
      <c r="F2" s="39" t="s">
        <v>46</v>
      </c>
      <c r="G2" s="40" t="s">
        <v>117</v>
      </c>
      <c r="H2" s="41"/>
    </row>
    <row r="3" spans="1:8" ht="14.4" x14ac:dyDescent="0.3">
      <c r="A3" s="125"/>
      <c r="B3" s="127"/>
      <c r="C3" s="129"/>
      <c r="D3" s="37"/>
      <c r="E3" s="38"/>
      <c r="F3" s="39" t="s">
        <v>47</v>
      </c>
      <c r="G3" s="42"/>
      <c r="H3" s="41"/>
    </row>
    <row r="4" spans="1:8" ht="14.4" x14ac:dyDescent="0.3">
      <c r="A4" s="43"/>
      <c r="B4" s="31" t="s">
        <v>48</v>
      </c>
      <c r="C4" s="44" t="s">
        <v>122</v>
      </c>
      <c r="D4" s="33"/>
      <c r="E4" s="34"/>
      <c r="F4" s="31" t="s">
        <v>49</v>
      </c>
      <c r="G4" s="45"/>
      <c r="H4" s="36"/>
    </row>
    <row r="5" spans="1:8" ht="14.4" x14ac:dyDescent="0.3">
      <c r="A5" s="46"/>
      <c r="B5" s="47"/>
      <c r="C5" s="47"/>
      <c r="D5" s="48"/>
      <c r="E5" s="48"/>
      <c r="F5" s="48"/>
      <c r="G5" s="47"/>
      <c r="H5" s="47"/>
    </row>
    <row r="6" spans="1:8" ht="14.4" x14ac:dyDescent="0.3">
      <c r="A6" s="43"/>
      <c r="B6" s="31" t="s">
        <v>50</v>
      </c>
      <c r="C6" s="49" t="s">
        <v>125</v>
      </c>
      <c r="D6" s="50"/>
      <c r="E6" s="51"/>
      <c r="F6" s="51"/>
      <c r="G6" s="51"/>
      <c r="H6" s="49"/>
    </row>
    <row r="7" spans="1:8" ht="14.4" x14ac:dyDescent="0.3">
      <c r="A7" s="46"/>
      <c r="B7" s="52"/>
      <c r="C7" s="52"/>
      <c r="D7" s="53"/>
      <c r="E7" s="2"/>
      <c r="F7" s="2"/>
      <c r="G7" s="2"/>
      <c r="H7" s="47"/>
    </row>
    <row r="8" spans="1:8" ht="14.4" x14ac:dyDescent="0.3">
      <c r="A8" s="46"/>
      <c r="B8" s="47"/>
      <c r="C8" s="47"/>
      <c r="D8" s="48"/>
      <c r="E8" s="2"/>
      <c r="F8" s="2"/>
      <c r="G8" s="2"/>
      <c r="H8" s="47"/>
    </row>
    <row r="9" spans="1:8" ht="14.4" x14ac:dyDescent="0.3">
      <c r="A9" s="46"/>
      <c r="B9" s="47"/>
      <c r="C9" s="47"/>
      <c r="D9" s="48"/>
      <c r="E9" s="48"/>
      <c r="F9" s="48"/>
      <c r="G9" s="47"/>
      <c r="H9" s="47"/>
    </row>
    <row r="10" spans="1:8" ht="14.4" x14ac:dyDescent="0.3">
      <c r="A10" s="54">
        <f>COUNTA(A12:A28)</f>
        <v>4</v>
      </c>
      <c r="B10" s="55" t="s">
        <v>51</v>
      </c>
      <c r="C10" s="56" t="s">
        <v>52</v>
      </c>
      <c r="D10" s="57">
        <f t="shared" ref="D10:F10" si="0">COUNTIF(D12:D28,"x")</f>
        <v>1</v>
      </c>
      <c r="E10" s="57">
        <f t="shared" si="0"/>
        <v>0</v>
      </c>
      <c r="F10" s="57">
        <f t="shared" si="0"/>
        <v>0</v>
      </c>
      <c r="G10" s="58" t="s">
        <v>53</v>
      </c>
      <c r="H10" s="59">
        <f>(D10+E10+F10)/A10</f>
        <v>0.25</v>
      </c>
    </row>
    <row r="11" spans="1:8" ht="25.8" x14ac:dyDescent="0.3">
      <c r="A11" s="60" t="s">
        <v>54</v>
      </c>
      <c r="B11" s="61" t="s">
        <v>55</v>
      </c>
      <c r="C11" s="61" t="s">
        <v>56</v>
      </c>
      <c r="D11" s="62" t="s">
        <v>57</v>
      </c>
      <c r="E11" s="62" t="s">
        <v>58</v>
      </c>
      <c r="F11" s="62" t="s">
        <v>59</v>
      </c>
      <c r="G11" s="63" t="s">
        <v>60</v>
      </c>
      <c r="H11" s="64" t="s">
        <v>61</v>
      </c>
    </row>
    <row r="12" spans="1:8" ht="26.4" x14ac:dyDescent="0.3">
      <c r="A12" s="65">
        <v>1</v>
      </c>
      <c r="B12" s="66" t="s">
        <v>153</v>
      </c>
      <c r="C12" s="66" t="s">
        <v>130</v>
      </c>
      <c r="D12" s="67" t="s">
        <v>62</v>
      </c>
      <c r="E12" s="67"/>
      <c r="F12" s="67"/>
      <c r="G12" s="66" t="s">
        <v>130</v>
      </c>
      <c r="H12" s="68"/>
    </row>
    <row r="13" spans="1:8" ht="26.4" x14ac:dyDescent="0.3">
      <c r="A13" s="65">
        <v>2</v>
      </c>
      <c r="B13" s="66" t="s">
        <v>155</v>
      </c>
      <c r="C13" s="66" t="s">
        <v>130</v>
      </c>
      <c r="D13" s="73" t="s">
        <v>115</v>
      </c>
      <c r="E13" s="73"/>
      <c r="F13" s="73"/>
      <c r="G13" s="66" t="s">
        <v>130</v>
      </c>
      <c r="H13" s="68"/>
    </row>
    <row r="14" spans="1:8" ht="26.4" x14ac:dyDescent="0.3">
      <c r="A14" s="69">
        <v>3</v>
      </c>
      <c r="B14" s="70" t="s">
        <v>152</v>
      </c>
      <c r="C14" s="66" t="s">
        <v>130</v>
      </c>
      <c r="D14" s="67" t="s">
        <v>115</v>
      </c>
      <c r="E14" s="71"/>
      <c r="F14" s="71"/>
      <c r="G14" s="66" t="s">
        <v>130</v>
      </c>
      <c r="H14" s="72"/>
    </row>
    <row r="15" spans="1:8" ht="14.4" x14ac:dyDescent="0.3">
      <c r="A15" s="69">
        <f t="shared" ref="A15" si="1">A14 + 1</f>
        <v>4</v>
      </c>
      <c r="B15" s="70" t="s">
        <v>129</v>
      </c>
      <c r="C15" s="70" t="s">
        <v>128</v>
      </c>
      <c r="D15" s="73"/>
      <c r="E15" s="71" t="s">
        <v>115</v>
      </c>
      <c r="F15" s="71"/>
      <c r="G15" s="70" t="s">
        <v>127</v>
      </c>
      <c r="H15" s="72"/>
    </row>
    <row r="17" spans="2:3" ht="14.4" x14ac:dyDescent="0.3">
      <c r="B17" s="52" t="s">
        <v>63</v>
      </c>
      <c r="C17" s="108" t="s">
        <v>154</v>
      </c>
    </row>
    <row r="18" spans="2:3" ht="14.4" x14ac:dyDescent="0.3">
      <c r="C18" s="114" t="s">
        <v>156</v>
      </c>
    </row>
    <row r="19" spans="2:3" ht="14.4" x14ac:dyDescent="0.3">
      <c r="C19" s="113" t="s">
        <v>126</v>
      </c>
    </row>
    <row r="20" spans="2:3" ht="14.4" x14ac:dyDescent="0.3"/>
    <row r="21" spans="2:3" ht="14.4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B5DD-3CBE-4FAC-8B9B-78574C1E7BEA}">
  <dimension ref="A1:D1000"/>
  <sheetViews>
    <sheetView topLeftCell="A4" workbookViewId="0">
      <selection activeCell="B12" sqref="B12:D12"/>
    </sheetView>
  </sheetViews>
  <sheetFormatPr defaultColWidth="14.44140625" defaultRowHeight="14.4" x14ac:dyDescent="0.3"/>
  <cols>
    <col min="1" max="26" width="25.44140625" customWidth="1"/>
  </cols>
  <sheetData>
    <row r="1" spans="1:4" x14ac:dyDescent="0.3">
      <c r="A1" s="75" t="s">
        <v>64</v>
      </c>
      <c r="B1" s="130" t="s">
        <v>131</v>
      </c>
      <c r="C1" s="131"/>
      <c r="D1" s="132"/>
    </row>
    <row r="2" spans="1:4" x14ac:dyDescent="0.3">
      <c r="A2" s="75" t="s">
        <v>61</v>
      </c>
      <c r="B2" s="84">
        <v>1</v>
      </c>
      <c r="C2" s="75" t="s">
        <v>65</v>
      </c>
      <c r="D2" s="77">
        <v>1</v>
      </c>
    </row>
    <row r="3" spans="1:4" x14ac:dyDescent="0.3">
      <c r="A3" s="75" t="s">
        <v>66</v>
      </c>
      <c r="B3" s="8"/>
      <c r="C3" s="75" t="s">
        <v>67</v>
      </c>
      <c r="D3" s="8"/>
    </row>
    <row r="4" spans="1:4" x14ac:dyDescent="0.3">
      <c r="A4" s="75" t="s">
        <v>68</v>
      </c>
      <c r="B4" s="8" t="s">
        <v>74</v>
      </c>
      <c r="C4" s="75" t="s">
        <v>69</v>
      </c>
      <c r="D4" s="8"/>
    </row>
    <row r="5" spans="1:4" x14ac:dyDescent="0.3">
      <c r="A5" s="75" t="s">
        <v>70</v>
      </c>
      <c r="B5" s="8" t="s">
        <v>29</v>
      </c>
      <c r="C5" s="75" t="s">
        <v>71</v>
      </c>
      <c r="D5" s="8" t="s">
        <v>72</v>
      </c>
    </row>
    <row r="6" spans="1:4" x14ac:dyDescent="0.3">
      <c r="A6" s="78" t="s">
        <v>73</v>
      </c>
      <c r="B6" s="78" t="s">
        <v>32</v>
      </c>
      <c r="C6" s="8" t="s">
        <v>74</v>
      </c>
      <c r="D6" s="8"/>
    </row>
    <row r="7" spans="1:4" x14ac:dyDescent="0.3">
      <c r="A7" s="78" t="s">
        <v>31</v>
      </c>
      <c r="B7" s="78" t="s">
        <v>72</v>
      </c>
      <c r="C7" s="8" t="s">
        <v>75</v>
      </c>
      <c r="D7" s="8"/>
    </row>
    <row r="8" spans="1:4" x14ac:dyDescent="0.3">
      <c r="A8" s="78" t="s">
        <v>76</v>
      </c>
      <c r="B8" s="78" t="s">
        <v>77</v>
      </c>
      <c r="C8" s="8" t="s">
        <v>78</v>
      </c>
      <c r="D8" s="8"/>
    </row>
    <row r="9" spans="1:4" x14ac:dyDescent="0.3">
      <c r="A9" s="78" t="s">
        <v>29</v>
      </c>
      <c r="B9" s="8"/>
      <c r="C9" s="8" t="s">
        <v>79</v>
      </c>
      <c r="D9" s="8"/>
    </row>
    <row r="10" spans="1:4" x14ac:dyDescent="0.3">
      <c r="A10" s="78" t="s">
        <v>27</v>
      </c>
      <c r="B10" s="8"/>
      <c r="C10" s="8" t="s">
        <v>80</v>
      </c>
      <c r="D10" s="8"/>
    </row>
    <row r="11" spans="1:4" x14ac:dyDescent="0.3">
      <c r="A11" s="75" t="s">
        <v>81</v>
      </c>
      <c r="B11" s="8"/>
      <c r="C11" s="75" t="s">
        <v>82</v>
      </c>
      <c r="D11" s="8"/>
    </row>
    <row r="12" spans="1:4" ht="237" customHeight="1" x14ac:dyDescent="0.3">
      <c r="A12" s="79" t="s">
        <v>83</v>
      </c>
      <c r="B12" s="133" t="s">
        <v>157</v>
      </c>
      <c r="C12" s="131"/>
      <c r="D12" s="132"/>
    </row>
    <row r="13" spans="1:4" ht="145.5" customHeight="1" x14ac:dyDescent="0.3">
      <c r="A13" s="75" t="s">
        <v>84</v>
      </c>
      <c r="B13" s="130"/>
      <c r="C13" s="131"/>
      <c r="D13" s="132"/>
    </row>
    <row r="21" customFormat="1" ht="15.75" customHeight="1" x14ac:dyDescent="0.3"/>
    <row r="22" customFormat="1" ht="15.75" customHeight="1" x14ac:dyDescent="0.3"/>
    <row r="23" customFormat="1" ht="15.75" customHeight="1" x14ac:dyDescent="0.3"/>
    <row r="24" customFormat="1" ht="15.75" customHeight="1" x14ac:dyDescent="0.3"/>
    <row r="25" customFormat="1" ht="15.75" customHeight="1" x14ac:dyDescent="0.3"/>
    <row r="26" customFormat="1" ht="15.75" customHeight="1" x14ac:dyDescent="0.3"/>
    <row r="27" customFormat="1" ht="15.75" customHeight="1" x14ac:dyDescent="0.3"/>
    <row r="28" customFormat="1" ht="15.75" customHeight="1" x14ac:dyDescent="0.3"/>
    <row r="29" customFormat="1" ht="15.75" customHeight="1" x14ac:dyDescent="0.3"/>
    <row r="30" customFormat="1" ht="15.75" customHeight="1" x14ac:dyDescent="0.3"/>
    <row r="31" customFormat="1" ht="15.75" customHeight="1" x14ac:dyDescent="0.3"/>
    <row r="32" customFormat="1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4" xr:uid="{DBFF2B3F-FC7F-4B55-8183-F8E6109C1C52}">
      <formula1>$C$6:$C$10</formula1>
    </dataValidation>
    <dataValidation type="list" allowBlank="1" showErrorMessage="1" sqref="D5" xr:uid="{4E512536-9EF0-47DF-A7BF-A97FD3ECA0AA}">
      <formula1>$B$6:$B$8</formula1>
    </dataValidation>
    <dataValidation type="list" allowBlank="1" showErrorMessage="1" sqref="B5" xr:uid="{B9D66296-0652-4B64-A72C-6B00FE869562}">
      <formula1>$A$6:$A$10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9"/>
  <sheetViews>
    <sheetView workbookViewId="0">
      <selection activeCell="C8" sqref="C8"/>
    </sheetView>
  </sheetViews>
  <sheetFormatPr defaultColWidth="14.44140625" defaultRowHeight="15" customHeight="1" x14ac:dyDescent="0.3"/>
  <cols>
    <col min="1" max="1" width="8.6640625" customWidth="1"/>
    <col min="2" max="2" width="38.66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26.4" x14ac:dyDescent="0.3">
      <c r="A1" s="30"/>
      <c r="B1" s="31" t="s">
        <v>43</v>
      </c>
      <c r="C1" s="32" t="s">
        <v>103</v>
      </c>
      <c r="D1" s="33"/>
      <c r="E1" s="34"/>
      <c r="F1" s="31" t="s">
        <v>44</v>
      </c>
      <c r="G1" s="35" t="s">
        <v>124</v>
      </c>
      <c r="H1" s="36"/>
    </row>
    <row r="2" spans="1:8" ht="14.4" x14ac:dyDescent="0.3">
      <c r="A2" s="124"/>
      <c r="B2" s="126" t="s">
        <v>45</v>
      </c>
      <c r="C2" s="128" t="s">
        <v>102</v>
      </c>
      <c r="D2" s="37"/>
      <c r="E2" s="38"/>
      <c r="F2" s="39" t="s">
        <v>46</v>
      </c>
      <c r="G2" t="s">
        <v>117</v>
      </c>
      <c r="H2" s="41"/>
    </row>
    <row r="3" spans="1:8" thickBot="1" x14ac:dyDescent="0.35">
      <c r="A3" s="125"/>
      <c r="B3" s="127"/>
      <c r="C3" s="129"/>
      <c r="D3" s="37"/>
      <c r="E3" s="38"/>
      <c r="F3" s="39" t="s">
        <v>47</v>
      </c>
      <c r="G3" s="42"/>
      <c r="H3" s="41"/>
    </row>
    <row r="4" spans="1:8" ht="14.4" x14ac:dyDescent="0.3">
      <c r="A4" s="43"/>
      <c r="B4" s="31" t="s">
        <v>48</v>
      </c>
      <c r="C4" s="44" t="s">
        <v>118</v>
      </c>
      <c r="D4" s="33"/>
      <c r="E4" s="34"/>
      <c r="F4" s="31" t="s">
        <v>49</v>
      </c>
      <c r="G4" s="45"/>
      <c r="H4" s="36"/>
    </row>
    <row r="5" spans="1:8" ht="14.4" x14ac:dyDescent="0.3">
      <c r="A5" s="46"/>
      <c r="B5" s="47"/>
      <c r="C5" s="47"/>
      <c r="D5" s="48"/>
      <c r="E5" s="48"/>
      <c r="F5" s="48"/>
      <c r="G5" s="47"/>
      <c r="H5" s="47"/>
    </row>
    <row r="6" spans="1:8" ht="14.4" x14ac:dyDescent="0.3">
      <c r="A6" s="43"/>
      <c r="B6" s="31" t="s">
        <v>50</v>
      </c>
      <c r="C6" s="49" t="s">
        <v>104</v>
      </c>
      <c r="D6" s="50"/>
      <c r="E6" s="51"/>
      <c r="F6" s="51"/>
      <c r="G6" s="51"/>
      <c r="H6" s="49"/>
    </row>
    <row r="7" spans="1:8" ht="14.4" x14ac:dyDescent="0.3">
      <c r="A7" s="46"/>
      <c r="B7" s="52"/>
      <c r="C7" s="52"/>
      <c r="D7" s="53"/>
      <c r="E7" s="2"/>
      <c r="F7" s="2"/>
      <c r="G7" s="2"/>
      <c r="H7" s="47"/>
    </row>
    <row r="8" spans="1:8" ht="14.4" x14ac:dyDescent="0.3">
      <c r="A8" s="46"/>
      <c r="B8" s="47"/>
      <c r="C8" s="47"/>
      <c r="D8" s="48"/>
      <c r="E8" s="2"/>
      <c r="F8" s="2"/>
      <c r="G8" s="2"/>
      <c r="H8" s="47"/>
    </row>
    <row r="9" spans="1:8" ht="14.4" x14ac:dyDescent="0.3">
      <c r="A9" s="46"/>
      <c r="B9" s="47"/>
      <c r="C9" s="47"/>
      <c r="D9" s="48"/>
      <c r="E9" s="48"/>
      <c r="F9" s="48"/>
      <c r="G9" s="47"/>
      <c r="H9" s="47"/>
    </row>
    <row r="10" spans="1:8" ht="14.4" x14ac:dyDescent="0.3">
      <c r="A10" s="54">
        <f>COUNTA(A12:A27)</f>
        <v>5</v>
      </c>
      <c r="B10" s="55" t="s">
        <v>51</v>
      </c>
      <c r="C10" s="56" t="s">
        <v>52</v>
      </c>
      <c r="D10" s="57">
        <f t="shared" ref="D10:F10" si="0">COUNTIF(D12:D27,"x")</f>
        <v>4</v>
      </c>
      <c r="E10" s="57">
        <f t="shared" si="0"/>
        <v>0</v>
      </c>
      <c r="F10" s="57">
        <f t="shared" si="0"/>
        <v>0</v>
      </c>
      <c r="G10" s="58" t="s">
        <v>53</v>
      </c>
      <c r="H10" s="59">
        <f>(D10+E10+F10)/A10</f>
        <v>0.8</v>
      </c>
    </row>
    <row r="11" spans="1:8" ht="25.8" x14ac:dyDescent="0.3">
      <c r="A11" s="60" t="s">
        <v>54</v>
      </c>
      <c r="B11" s="61" t="s">
        <v>55</v>
      </c>
      <c r="C11" s="61" t="s">
        <v>56</v>
      </c>
      <c r="D11" s="62" t="s">
        <v>57</v>
      </c>
      <c r="E11" s="62" t="s">
        <v>58</v>
      </c>
      <c r="F11" s="62" t="s">
        <v>59</v>
      </c>
      <c r="G11" s="63" t="s">
        <v>60</v>
      </c>
      <c r="H11" s="64" t="s">
        <v>61</v>
      </c>
    </row>
    <row r="12" spans="1:8" ht="14.4" x14ac:dyDescent="0.3">
      <c r="A12" s="65">
        <v>1</v>
      </c>
      <c r="B12" s="66" t="s">
        <v>105</v>
      </c>
      <c r="C12" s="66" t="s">
        <v>106</v>
      </c>
      <c r="D12" s="67" t="s">
        <v>62</v>
      </c>
      <c r="E12" s="67"/>
      <c r="F12" s="67"/>
      <c r="G12" s="66" t="s">
        <v>106</v>
      </c>
      <c r="H12" s="68"/>
    </row>
    <row r="13" spans="1:8" ht="14.4" x14ac:dyDescent="0.3">
      <c r="A13" s="69">
        <f>A12 + 1</f>
        <v>2</v>
      </c>
      <c r="B13" s="70" t="s">
        <v>107</v>
      </c>
      <c r="C13" s="70" t="s">
        <v>108</v>
      </c>
      <c r="D13" s="67" t="s">
        <v>62</v>
      </c>
      <c r="E13" s="71"/>
      <c r="F13" s="71"/>
      <c r="G13" s="70" t="s">
        <v>108</v>
      </c>
      <c r="H13" s="72"/>
    </row>
    <row r="14" spans="1:8" ht="26.4" x14ac:dyDescent="0.3">
      <c r="A14" s="69">
        <v>3</v>
      </c>
      <c r="B14" t="s">
        <v>109</v>
      </c>
      <c r="C14" s="70" t="s">
        <v>110</v>
      </c>
      <c r="D14" s="73" t="s">
        <v>62</v>
      </c>
      <c r="E14" s="71"/>
      <c r="F14" s="71"/>
      <c r="G14" s="74" t="s">
        <v>110</v>
      </c>
      <c r="H14" s="72"/>
    </row>
    <row r="15" spans="1:8" ht="26.4" x14ac:dyDescent="0.3">
      <c r="A15" s="69">
        <v>4</v>
      </c>
      <c r="B15" s="70" t="s">
        <v>112</v>
      </c>
      <c r="C15" s="70" t="s">
        <v>111</v>
      </c>
      <c r="D15" s="73" t="s">
        <v>62</v>
      </c>
      <c r="E15" s="71"/>
      <c r="F15" s="71"/>
      <c r="G15" s="74" t="s">
        <v>111</v>
      </c>
      <c r="H15" s="72"/>
    </row>
    <row r="16" spans="1:8" ht="39.6" x14ac:dyDescent="0.3">
      <c r="A16" s="69">
        <v>5</v>
      </c>
      <c r="B16" s="70" t="s">
        <v>113</v>
      </c>
      <c r="C16" s="70" t="s">
        <v>114</v>
      </c>
      <c r="D16" s="73"/>
      <c r="E16" s="71" t="s">
        <v>115</v>
      </c>
      <c r="F16" s="71"/>
      <c r="G16" s="74" t="s">
        <v>116</v>
      </c>
      <c r="H16" s="72"/>
    </row>
    <row r="18" spans="2:3" ht="15" customHeight="1" x14ac:dyDescent="0.3">
      <c r="B18" s="52" t="s">
        <v>63</v>
      </c>
      <c r="C18" s="8">
        <v>123</v>
      </c>
    </row>
    <row r="20" spans="2:3" ht="15.75" customHeight="1" x14ac:dyDescent="0.3"/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B12" sqref="B12:D12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75" t="s">
        <v>64</v>
      </c>
      <c r="B1" s="130" t="s">
        <v>119</v>
      </c>
      <c r="C1" s="131"/>
      <c r="D1" s="132"/>
    </row>
    <row r="2" spans="1:4" ht="14.4" x14ac:dyDescent="0.3">
      <c r="A2" s="75" t="s">
        <v>61</v>
      </c>
      <c r="B2" s="76">
        <v>2</v>
      </c>
      <c r="C2" s="75" t="s">
        <v>65</v>
      </c>
      <c r="D2" s="77">
        <v>2</v>
      </c>
    </row>
    <row r="3" spans="1:4" ht="14.4" x14ac:dyDescent="0.3">
      <c r="A3" s="75" t="s">
        <v>66</v>
      </c>
      <c r="B3" s="8"/>
      <c r="C3" s="75" t="s">
        <v>67</v>
      </c>
      <c r="D3" s="8"/>
    </row>
    <row r="4" spans="1:4" ht="14.4" x14ac:dyDescent="0.3">
      <c r="A4" s="75" t="s">
        <v>68</v>
      </c>
      <c r="B4" s="8" t="s">
        <v>74</v>
      </c>
      <c r="C4" s="75" t="s">
        <v>69</v>
      </c>
      <c r="D4" s="8"/>
    </row>
    <row r="5" spans="1:4" ht="14.4" x14ac:dyDescent="0.3">
      <c r="A5" s="75" t="s">
        <v>70</v>
      </c>
      <c r="B5" s="8" t="s">
        <v>29</v>
      </c>
      <c r="C5" s="75" t="s">
        <v>71</v>
      </c>
      <c r="D5" s="8" t="s">
        <v>72</v>
      </c>
    </row>
    <row r="6" spans="1:4" ht="14.4" x14ac:dyDescent="0.3">
      <c r="A6" s="78" t="s">
        <v>73</v>
      </c>
      <c r="B6" s="78" t="s">
        <v>32</v>
      </c>
      <c r="C6" s="8" t="s">
        <v>74</v>
      </c>
      <c r="D6" s="8"/>
    </row>
    <row r="7" spans="1:4" ht="14.4" x14ac:dyDescent="0.3">
      <c r="A7" s="78" t="s">
        <v>31</v>
      </c>
      <c r="B7" s="78" t="s">
        <v>72</v>
      </c>
      <c r="C7" s="8" t="s">
        <v>75</v>
      </c>
      <c r="D7" s="8"/>
    </row>
    <row r="8" spans="1:4" ht="14.4" x14ac:dyDescent="0.3">
      <c r="A8" s="78" t="s">
        <v>76</v>
      </c>
      <c r="B8" s="78" t="s">
        <v>77</v>
      </c>
      <c r="C8" s="8" t="s">
        <v>78</v>
      </c>
      <c r="D8" s="8"/>
    </row>
    <row r="9" spans="1:4" ht="14.4" x14ac:dyDescent="0.3">
      <c r="A9" s="78" t="s">
        <v>29</v>
      </c>
      <c r="B9" s="8"/>
      <c r="C9" s="8" t="s">
        <v>79</v>
      </c>
      <c r="D9" s="8"/>
    </row>
    <row r="10" spans="1:4" ht="14.4" x14ac:dyDescent="0.3">
      <c r="A10" s="78" t="s">
        <v>27</v>
      </c>
      <c r="B10" s="8"/>
      <c r="C10" s="8" t="s">
        <v>80</v>
      </c>
      <c r="D10" s="8"/>
    </row>
    <row r="11" spans="1:4" ht="14.4" x14ac:dyDescent="0.3">
      <c r="A11" s="75" t="s">
        <v>81</v>
      </c>
      <c r="B11" s="8"/>
      <c r="C11" s="75" t="s">
        <v>82</v>
      </c>
      <c r="D11" s="8"/>
    </row>
    <row r="12" spans="1:4" ht="237" customHeight="1" x14ac:dyDescent="0.3">
      <c r="A12" s="79" t="s">
        <v>83</v>
      </c>
      <c r="B12" s="133" t="s">
        <v>120</v>
      </c>
      <c r="C12" s="131"/>
      <c r="D12" s="132"/>
    </row>
    <row r="13" spans="1:4" ht="145.5" customHeight="1" x14ac:dyDescent="0.3">
      <c r="A13" s="75" t="s">
        <v>84</v>
      </c>
      <c r="B13" s="130"/>
      <c r="C13" s="131"/>
      <c r="D13" s="132"/>
    </row>
    <row r="21" customFormat="1" ht="15.75" customHeight="1" x14ac:dyDescent="0.3"/>
    <row r="22" customFormat="1" ht="15.75" customHeight="1" x14ac:dyDescent="0.3"/>
    <row r="23" customFormat="1" ht="15.75" customHeight="1" x14ac:dyDescent="0.3"/>
    <row r="24" customFormat="1" ht="15.75" customHeight="1" x14ac:dyDescent="0.3"/>
    <row r="25" customFormat="1" ht="15.75" customHeight="1" x14ac:dyDescent="0.3"/>
    <row r="26" customFormat="1" ht="15.75" customHeight="1" x14ac:dyDescent="0.3"/>
    <row r="27" customFormat="1" ht="15.75" customHeight="1" x14ac:dyDescent="0.3"/>
    <row r="28" customFormat="1" ht="15.75" customHeight="1" x14ac:dyDescent="0.3"/>
    <row r="29" customFormat="1" ht="15.75" customHeight="1" x14ac:dyDescent="0.3"/>
    <row r="30" customFormat="1" ht="15.75" customHeight="1" x14ac:dyDescent="0.3"/>
    <row r="31" customFormat="1" ht="15.75" customHeight="1" x14ac:dyDescent="0.3"/>
    <row r="32" customFormat="1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5" xr:uid="{00000000-0002-0000-0400-000000000000}">
      <formula1>$A$6:$A$10</formula1>
    </dataValidation>
    <dataValidation type="list" allowBlank="1" showErrorMessage="1" sqref="D5" xr:uid="{00000000-0002-0000-0400-000001000000}">
      <formula1>$B$6:$B$8</formula1>
    </dataValidation>
    <dataValidation type="list" allowBlank="1" showErrorMessage="1" sqref="B4" xr:uid="{00000000-0002-0000-0400-000002000000}">
      <formula1>$C$6:$C$10</formula1>
    </dataValidation>
  </dataValidation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41A3-2103-4BFF-89C5-329C30B8C00A}">
  <dimension ref="A1:H1000"/>
  <sheetViews>
    <sheetView workbookViewId="0">
      <selection activeCell="B13" sqref="B13"/>
    </sheetView>
  </sheetViews>
  <sheetFormatPr defaultColWidth="14.44140625" defaultRowHeight="14.4" x14ac:dyDescent="0.3"/>
  <cols>
    <col min="1" max="1" width="8.6640625" style="88" customWidth="1"/>
    <col min="2" max="2" width="32.44140625" style="88" customWidth="1"/>
    <col min="3" max="3" width="35.5546875" style="88" customWidth="1"/>
    <col min="4" max="6" width="8.6640625" style="88" customWidth="1"/>
    <col min="7" max="7" width="28" style="88" customWidth="1"/>
    <col min="8" max="8" width="12.44140625" style="88" customWidth="1"/>
    <col min="9" max="26" width="8.6640625" style="88" customWidth="1"/>
    <col min="27" max="16384" width="14.44140625" style="88"/>
  </cols>
  <sheetData>
    <row r="1" spans="1:8" x14ac:dyDescent="0.3">
      <c r="A1" s="30"/>
      <c r="B1" s="31" t="s">
        <v>43</v>
      </c>
      <c r="C1" s="32" t="s">
        <v>132</v>
      </c>
      <c r="D1" s="87"/>
      <c r="E1" s="34"/>
      <c r="F1" s="31" t="s">
        <v>44</v>
      </c>
      <c r="G1" s="35">
        <v>3</v>
      </c>
      <c r="H1" s="36"/>
    </row>
    <row r="2" spans="1:8" ht="25.2" customHeight="1" x14ac:dyDescent="0.3">
      <c r="A2" s="124"/>
      <c r="B2" s="126" t="s">
        <v>45</v>
      </c>
      <c r="C2" s="128" t="s">
        <v>133</v>
      </c>
      <c r="D2" s="89"/>
      <c r="E2" s="90"/>
      <c r="F2" s="91" t="s">
        <v>46</v>
      </c>
      <c r="G2" s="92" t="s">
        <v>117</v>
      </c>
      <c r="H2" s="41"/>
    </row>
    <row r="3" spans="1:8" ht="28.8" customHeight="1" thickBot="1" x14ac:dyDescent="0.35">
      <c r="A3" s="125"/>
      <c r="B3" s="127"/>
      <c r="C3" s="129"/>
      <c r="D3" s="89"/>
      <c r="E3" s="90"/>
      <c r="F3" s="91" t="s">
        <v>47</v>
      </c>
      <c r="G3" s="42">
        <v>3</v>
      </c>
      <c r="H3" s="41"/>
    </row>
    <row r="4" spans="1:8" x14ac:dyDescent="0.3">
      <c r="A4" s="43"/>
      <c r="B4" s="31" t="s">
        <v>48</v>
      </c>
      <c r="C4" s="44" t="s">
        <v>134</v>
      </c>
      <c r="D4" s="87"/>
      <c r="E4" s="34"/>
      <c r="F4" s="31" t="s">
        <v>49</v>
      </c>
      <c r="G4" s="45">
        <v>46159</v>
      </c>
      <c r="H4" s="36"/>
    </row>
    <row r="5" spans="1:8" ht="15" thickBot="1" x14ac:dyDescent="0.35">
      <c r="A5" s="46"/>
      <c r="B5" s="47"/>
      <c r="C5" s="47"/>
      <c r="D5" s="48"/>
      <c r="E5" s="48"/>
      <c r="F5" s="48"/>
      <c r="G5" s="47"/>
      <c r="H5" s="47"/>
    </row>
    <row r="6" spans="1:8" x14ac:dyDescent="0.3">
      <c r="A6" s="43"/>
      <c r="B6" s="31" t="s">
        <v>50</v>
      </c>
      <c r="C6" s="49" t="s">
        <v>135</v>
      </c>
      <c r="D6" s="50"/>
      <c r="E6" s="93"/>
      <c r="F6" s="93"/>
      <c r="G6" s="93"/>
      <c r="H6" s="49"/>
    </row>
    <row r="7" spans="1:8" x14ac:dyDescent="0.3">
      <c r="A7" s="46"/>
      <c r="B7" s="52"/>
      <c r="C7" s="52"/>
      <c r="D7" s="53"/>
      <c r="H7" s="47"/>
    </row>
    <row r="8" spans="1:8" x14ac:dyDescent="0.3">
      <c r="A8" s="46"/>
      <c r="B8" s="47"/>
      <c r="C8" s="47"/>
      <c r="D8" s="48"/>
      <c r="H8" s="47"/>
    </row>
    <row r="9" spans="1:8" ht="15" thickBot="1" x14ac:dyDescent="0.35">
      <c r="A9" s="46"/>
      <c r="B9" s="47"/>
      <c r="C9" s="47"/>
      <c r="D9" s="48"/>
      <c r="E9" s="48"/>
      <c r="F9" s="48"/>
      <c r="G9" s="47"/>
      <c r="H9" s="47"/>
    </row>
    <row r="10" spans="1:8" ht="15" thickBot="1" x14ac:dyDescent="0.35">
      <c r="A10" s="54">
        <f>COUNTA(A12:A28)</f>
        <v>3</v>
      </c>
      <c r="B10" s="55" t="s">
        <v>51</v>
      </c>
      <c r="C10" s="56" t="s">
        <v>52</v>
      </c>
      <c r="D10" s="57">
        <f t="shared" ref="D10:F10" si="0">COUNTIF(D12:D28,"x")</f>
        <v>2</v>
      </c>
      <c r="E10" s="57">
        <f t="shared" si="0"/>
        <v>1</v>
      </c>
      <c r="F10" s="57">
        <f t="shared" si="0"/>
        <v>0</v>
      </c>
      <c r="G10" s="58" t="s">
        <v>53</v>
      </c>
      <c r="H10" s="59">
        <f>(D10+E10+F10)/A10</f>
        <v>1</v>
      </c>
    </row>
    <row r="11" spans="1:8" ht="26.4" thickBot="1" x14ac:dyDescent="0.35">
      <c r="A11" s="60" t="s">
        <v>54</v>
      </c>
      <c r="B11" s="61" t="s">
        <v>55</v>
      </c>
      <c r="C11" s="61" t="s">
        <v>56</v>
      </c>
      <c r="D11" s="62" t="s">
        <v>57</v>
      </c>
      <c r="E11" s="62" t="s">
        <v>58</v>
      </c>
      <c r="F11" s="62" t="s">
        <v>59</v>
      </c>
      <c r="G11" s="63" t="s">
        <v>60</v>
      </c>
      <c r="H11" s="64" t="s">
        <v>61</v>
      </c>
    </row>
    <row r="12" spans="1:8" ht="52.8" x14ac:dyDescent="0.3">
      <c r="A12" s="65">
        <v>1</v>
      </c>
      <c r="B12" s="66" t="s">
        <v>158</v>
      </c>
      <c r="C12" s="66" t="s">
        <v>136</v>
      </c>
      <c r="D12" s="73" t="s">
        <v>62</v>
      </c>
      <c r="E12" s="73"/>
      <c r="F12" s="73"/>
      <c r="G12" s="66" t="s">
        <v>136</v>
      </c>
      <c r="H12" s="68"/>
    </row>
    <row r="13" spans="1:8" x14ac:dyDescent="0.3">
      <c r="A13" s="69">
        <f>A12 + 1</f>
        <v>2</v>
      </c>
      <c r="B13" s="70" t="s">
        <v>159</v>
      </c>
      <c r="C13" s="70" t="s">
        <v>137</v>
      </c>
      <c r="D13" s="73" t="s">
        <v>62</v>
      </c>
      <c r="E13" s="71"/>
      <c r="F13" s="71"/>
      <c r="G13" s="70" t="s">
        <v>137</v>
      </c>
      <c r="H13" s="72"/>
    </row>
    <row r="14" spans="1:8" ht="39.6" x14ac:dyDescent="0.3">
      <c r="A14" s="69">
        <v>3</v>
      </c>
      <c r="B14" s="70" t="s">
        <v>138</v>
      </c>
      <c r="C14" s="70" t="s">
        <v>139</v>
      </c>
      <c r="D14" s="73"/>
      <c r="E14" s="71" t="s">
        <v>62</v>
      </c>
      <c r="F14" s="71"/>
      <c r="G14" s="70" t="s">
        <v>140</v>
      </c>
      <c r="H14" s="72">
        <v>3</v>
      </c>
    </row>
    <row r="15" spans="1:8" x14ac:dyDescent="0.3">
      <c r="A15" s="69"/>
      <c r="B15" s="70"/>
      <c r="C15" s="70"/>
      <c r="D15" s="73"/>
      <c r="E15" s="71"/>
      <c r="F15" s="71"/>
      <c r="G15" s="85"/>
      <c r="H15" s="72"/>
    </row>
    <row r="21" s="88" customFormat="1" ht="15.75" customHeight="1" x14ac:dyDescent="0.3"/>
    <row r="22" s="88" customFormat="1" ht="15.75" customHeight="1" x14ac:dyDescent="0.3"/>
    <row r="23" s="88" customFormat="1" ht="15.75" customHeight="1" x14ac:dyDescent="0.3"/>
    <row r="24" s="88" customFormat="1" ht="15.75" customHeight="1" x14ac:dyDescent="0.3"/>
    <row r="25" s="88" customFormat="1" ht="15.75" customHeight="1" x14ac:dyDescent="0.3"/>
    <row r="26" s="88" customFormat="1" ht="15.75" customHeight="1" x14ac:dyDescent="0.3"/>
    <row r="27" s="88" customFormat="1" ht="15.75" customHeight="1" x14ac:dyDescent="0.3"/>
    <row r="28" s="88" customFormat="1" ht="15.75" customHeight="1" x14ac:dyDescent="0.3"/>
    <row r="29" s="88" customFormat="1" ht="15.75" customHeight="1" x14ac:dyDescent="0.3"/>
    <row r="30" s="88" customFormat="1" ht="15.75" customHeight="1" x14ac:dyDescent="0.3"/>
    <row r="31" s="88" customFormat="1" ht="15.75" customHeight="1" x14ac:dyDescent="0.3"/>
    <row r="32" s="88" customFormat="1" ht="15.75" customHeight="1" x14ac:dyDescent="0.3"/>
    <row r="33" s="88" customFormat="1" ht="15.75" customHeight="1" x14ac:dyDescent="0.3"/>
    <row r="34" s="88" customFormat="1" ht="15.75" customHeight="1" x14ac:dyDescent="0.3"/>
    <row r="35" s="88" customFormat="1" ht="15.75" customHeight="1" x14ac:dyDescent="0.3"/>
    <row r="36" s="88" customFormat="1" ht="15.75" customHeight="1" x14ac:dyDescent="0.3"/>
    <row r="37" s="88" customFormat="1" ht="15.75" customHeight="1" x14ac:dyDescent="0.3"/>
    <row r="38" s="88" customFormat="1" ht="15.75" customHeight="1" x14ac:dyDescent="0.3"/>
    <row r="39" s="88" customFormat="1" ht="15.75" customHeight="1" x14ac:dyDescent="0.3"/>
    <row r="40" s="88" customFormat="1" ht="15.75" customHeight="1" x14ac:dyDescent="0.3"/>
    <row r="41" s="88" customFormat="1" ht="15.75" customHeight="1" x14ac:dyDescent="0.3"/>
    <row r="42" s="88" customFormat="1" ht="15.75" customHeight="1" x14ac:dyDescent="0.3"/>
    <row r="43" s="88" customFormat="1" ht="15.75" customHeight="1" x14ac:dyDescent="0.3"/>
    <row r="44" s="88" customFormat="1" ht="15.75" customHeight="1" x14ac:dyDescent="0.3"/>
    <row r="45" s="88" customFormat="1" ht="15.75" customHeight="1" x14ac:dyDescent="0.3"/>
    <row r="46" s="88" customFormat="1" ht="15.75" customHeight="1" x14ac:dyDescent="0.3"/>
    <row r="47" s="88" customFormat="1" ht="15.75" customHeight="1" x14ac:dyDescent="0.3"/>
    <row r="48" s="88" customFormat="1" ht="15.75" customHeight="1" x14ac:dyDescent="0.3"/>
    <row r="49" s="88" customFormat="1" ht="15.75" customHeight="1" x14ac:dyDescent="0.3"/>
    <row r="50" s="88" customFormat="1" ht="15.75" customHeight="1" x14ac:dyDescent="0.3"/>
    <row r="51" s="88" customFormat="1" ht="15.75" customHeight="1" x14ac:dyDescent="0.3"/>
    <row r="52" s="88" customFormat="1" ht="15.75" customHeight="1" x14ac:dyDescent="0.3"/>
    <row r="53" s="88" customFormat="1" ht="15.75" customHeight="1" x14ac:dyDescent="0.3"/>
    <row r="54" s="88" customFormat="1" ht="15.75" customHeight="1" x14ac:dyDescent="0.3"/>
    <row r="55" s="88" customFormat="1" ht="15.75" customHeight="1" x14ac:dyDescent="0.3"/>
    <row r="56" s="88" customFormat="1" ht="15.75" customHeight="1" x14ac:dyDescent="0.3"/>
    <row r="57" s="88" customFormat="1" ht="15.75" customHeight="1" x14ac:dyDescent="0.3"/>
    <row r="58" s="88" customFormat="1" ht="15.75" customHeight="1" x14ac:dyDescent="0.3"/>
    <row r="59" s="88" customFormat="1" ht="15.75" customHeight="1" x14ac:dyDescent="0.3"/>
    <row r="60" s="88" customFormat="1" ht="15.75" customHeight="1" x14ac:dyDescent="0.3"/>
    <row r="61" s="88" customFormat="1" ht="15.75" customHeight="1" x14ac:dyDescent="0.3"/>
    <row r="62" s="88" customFormat="1" ht="15.75" customHeight="1" x14ac:dyDescent="0.3"/>
    <row r="63" s="88" customFormat="1" ht="15.75" customHeight="1" x14ac:dyDescent="0.3"/>
    <row r="64" s="88" customFormat="1" ht="15.75" customHeight="1" x14ac:dyDescent="0.3"/>
    <row r="65" s="88" customFormat="1" ht="15.75" customHeight="1" x14ac:dyDescent="0.3"/>
    <row r="66" s="88" customFormat="1" ht="15.75" customHeight="1" x14ac:dyDescent="0.3"/>
    <row r="67" s="88" customFormat="1" ht="15.75" customHeight="1" x14ac:dyDescent="0.3"/>
    <row r="68" s="88" customFormat="1" ht="15.75" customHeight="1" x14ac:dyDescent="0.3"/>
    <row r="69" s="88" customFormat="1" ht="15.75" customHeight="1" x14ac:dyDescent="0.3"/>
    <row r="70" s="88" customFormat="1" ht="15.75" customHeight="1" x14ac:dyDescent="0.3"/>
    <row r="71" s="88" customFormat="1" ht="15.75" customHeight="1" x14ac:dyDescent="0.3"/>
    <row r="72" s="88" customFormat="1" ht="15.75" customHeight="1" x14ac:dyDescent="0.3"/>
    <row r="73" s="88" customFormat="1" ht="15.75" customHeight="1" x14ac:dyDescent="0.3"/>
    <row r="74" s="88" customFormat="1" ht="15.75" customHeight="1" x14ac:dyDescent="0.3"/>
    <row r="75" s="88" customFormat="1" ht="15.75" customHeight="1" x14ac:dyDescent="0.3"/>
    <row r="76" s="88" customFormat="1" ht="15.75" customHeight="1" x14ac:dyDescent="0.3"/>
    <row r="77" s="88" customFormat="1" ht="15.75" customHeight="1" x14ac:dyDescent="0.3"/>
    <row r="78" s="88" customFormat="1" ht="15.75" customHeight="1" x14ac:dyDescent="0.3"/>
    <row r="79" s="88" customFormat="1" ht="15.75" customHeight="1" x14ac:dyDescent="0.3"/>
    <row r="80" s="88" customFormat="1" ht="15.75" customHeight="1" x14ac:dyDescent="0.3"/>
    <row r="81" s="88" customFormat="1" ht="15.75" customHeight="1" x14ac:dyDescent="0.3"/>
    <row r="82" s="88" customFormat="1" ht="15.75" customHeight="1" x14ac:dyDescent="0.3"/>
    <row r="83" s="88" customFormat="1" ht="15.75" customHeight="1" x14ac:dyDescent="0.3"/>
    <row r="84" s="88" customFormat="1" ht="15.75" customHeight="1" x14ac:dyDescent="0.3"/>
    <row r="85" s="88" customFormat="1" ht="15.75" customHeight="1" x14ac:dyDescent="0.3"/>
    <row r="86" s="88" customFormat="1" ht="15.75" customHeight="1" x14ac:dyDescent="0.3"/>
    <row r="87" s="88" customFormat="1" ht="15.75" customHeight="1" x14ac:dyDescent="0.3"/>
    <row r="88" s="88" customFormat="1" ht="15.75" customHeight="1" x14ac:dyDescent="0.3"/>
    <row r="89" s="88" customFormat="1" ht="15.75" customHeight="1" x14ac:dyDescent="0.3"/>
    <row r="90" s="88" customFormat="1" ht="15.75" customHeight="1" x14ac:dyDescent="0.3"/>
    <row r="91" s="88" customFormat="1" ht="15.75" customHeight="1" x14ac:dyDescent="0.3"/>
    <row r="92" s="88" customFormat="1" ht="15.75" customHeight="1" x14ac:dyDescent="0.3"/>
    <row r="93" s="88" customFormat="1" ht="15.75" customHeight="1" x14ac:dyDescent="0.3"/>
    <row r="94" s="88" customFormat="1" ht="15.75" customHeight="1" x14ac:dyDescent="0.3"/>
    <row r="95" s="88" customFormat="1" ht="15.75" customHeight="1" x14ac:dyDescent="0.3"/>
    <row r="96" s="88" customFormat="1" ht="15.75" customHeight="1" x14ac:dyDescent="0.3"/>
    <row r="97" s="88" customFormat="1" ht="15.75" customHeight="1" x14ac:dyDescent="0.3"/>
    <row r="98" s="88" customFormat="1" ht="15.75" customHeight="1" x14ac:dyDescent="0.3"/>
    <row r="99" s="88" customFormat="1" ht="15.75" customHeight="1" x14ac:dyDescent="0.3"/>
    <row r="100" s="88" customFormat="1" ht="15.75" customHeight="1" x14ac:dyDescent="0.3"/>
    <row r="101" s="88" customFormat="1" ht="15.75" customHeight="1" x14ac:dyDescent="0.3"/>
    <row r="102" s="88" customFormat="1" ht="15.75" customHeight="1" x14ac:dyDescent="0.3"/>
    <row r="103" s="88" customFormat="1" ht="15.75" customHeight="1" x14ac:dyDescent="0.3"/>
    <row r="104" s="88" customFormat="1" ht="15.75" customHeight="1" x14ac:dyDescent="0.3"/>
    <row r="105" s="88" customFormat="1" ht="15.75" customHeight="1" x14ac:dyDescent="0.3"/>
    <row r="106" s="88" customFormat="1" ht="15.75" customHeight="1" x14ac:dyDescent="0.3"/>
    <row r="107" s="88" customFormat="1" ht="15.75" customHeight="1" x14ac:dyDescent="0.3"/>
    <row r="108" s="88" customFormat="1" ht="15.75" customHeight="1" x14ac:dyDescent="0.3"/>
    <row r="109" s="88" customFormat="1" ht="15.75" customHeight="1" x14ac:dyDescent="0.3"/>
    <row r="110" s="88" customFormat="1" ht="15.75" customHeight="1" x14ac:dyDescent="0.3"/>
    <row r="111" s="88" customFormat="1" ht="15.75" customHeight="1" x14ac:dyDescent="0.3"/>
    <row r="112" s="88" customFormat="1" ht="15.75" customHeight="1" x14ac:dyDescent="0.3"/>
    <row r="113" s="88" customFormat="1" ht="15.75" customHeight="1" x14ac:dyDescent="0.3"/>
    <row r="114" s="88" customFormat="1" ht="15.75" customHeight="1" x14ac:dyDescent="0.3"/>
    <row r="115" s="88" customFormat="1" ht="15.75" customHeight="1" x14ac:dyDescent="0.3"/>
    <row r="116" s="88" customFormat="1" ht="15.75" customHeight="1" x14ac:dyDescent="0.3"/>
    <row r="117" s="88" customFormat="1" ht="15.75" customHeight="1" x14ac:dyDescent="0.3"/>
    <row r="118" s="88" customFormat="1" ht="15.75" customHeight="1" x14ac:dyDescent="0.3"/>
    <row r="119" s="88" customFormat="1" ht="15.75" customHeight="1" x14ac:dyDescent="0.3"/>
    <row r="120" s="88" customFormat="1" ht="15.75" customHeight="1" x14ac:dyDescent="0.3"/>
    <row r="121" s="88" customFormat="1" ht="15.75" customHeight="1" x14ac:dyDescent="0.3"/>
    <row r="122" s="88" customFormat="1" ht="15.75" customHeight="1" x14ac:dyDescent="0.3"/>
    <row r="123" s="88" customFormat="1" ht="15.75" customHeight="1" x14ac:dyDescent="0.3"/>
    <row r="124" s="88" customFormat="1" ht="15.75" customHeight="1" x14ac:dyDescent="0.3"/>
    <row r="125" s="88" customFormat="1" ht="15.75" customHeight="1" x14ac:dyDescent="0.3"/>
    <row r="126" s="88" customFormat="1" ht="15.75" customHeight="1" x14ac:dyDescent="0.3"/>
    <row r="127" s="88" customFormat="1" ht="15.75" customHeight="1" x14ac:dyDescent="0.3"/>
    <row r="128" s="88" customFormat="1" ht="15.75" customHeight="1" x14ac:dyDescent="0.3"/>
    <row r="129" s="88" customFormat="1" ht="15.75" customHeight="1" x14ac:dyDescent="0.3"/>
    <row r="130" s="88" customFormat="1" ht="15.75" customHeight="1" x14ac:dyDescent="0.3"/>
    <row r="131" s="88" customFormat="1" ht="15.75" customHeight="1" x14ac:dyDescent="0.3"/>
    <row r="132" s="88" customFormat="1" ht="15.75" customHeight="1" x14ac:dyDescent="0.3"/>
    <row r="133" s="88" customFormat="1" ht="15.75" customHeight="1" x14ac:dyDescent="0.3"/>
    <row r="134" s="88" customFormat="1" ht="15.75" customHeight="1" x14ac:dyDescent="0.3"/>
    <row r="135" s="88" customFormat="1" ht="15.75" customHeight="1" x14ac:dyDescent="0.3"/>
    <row r="136" s="88" customFormat="1" ht="15.75" customHeight="1" x14ac:dyDescent="0.3"/>
    <row r="137" s="88" customFormat="1" ht="15.75" customHeight="1" x14ac:dyDescent="0.3"/>
    <row r="138" s="88" customFormat="1" ht="15.75" customHeight="1" x14ac:dyDescent="0.3"/>
    <row r="139" s="88" customFormat="1" ht="15.75" customHeight="1" x14ac:dyDescent="0.3"/>
    <row r="140" s="88" customFormat="1" ht="15.75" customHeight="1" x14ac:dyDescent="0.3"/>
    <row r="141" s="88" customFormat="1" ht="15.75" customHeight="1" x14ac:dyDescent="0.3"/>
    <row r="142" s="88" customFormat="1" ht="15.75" customHeight="1" x14ac:dyDescent="0.3"/>
    <row r="143" s="88" customFormat="1" ht="15.75" customHeight="1" x14ac:dyDescent="0.3"/>
    <row r="144" s="88" customFormat="1" ht="15.75" customHeight="1" x14ac:dyDescent="0.3"/>
    <row r="145" s="88" customFormat="1" ht="15.75" customHeight="1" x14ac:dyDescent="0.3"/>
    <row r="146" s="88" customFormat="1" ht="15.75" customHeight="1" x14ac:dyDescent="0.3"/>
    <row r="147" s="88" customFormat="1" ht="15.75" customHeight="1" x14ac:dyDescent="0.3"/>
    <row r="148" s="88" customFormat="1" ht="15.75" customHeight="1" x14ac:dyDescent="0.3"/>
    <row r="149" s="88" customFormat="1" ht="15.75" customHeight="1" x14ac:dyDescent="0.3"/>
    <row r="150" s="88" customFormat="1" ht="15.75" customHeight="1" x14ac:dyDescent="0.3"/>
    <row r="151" s="88" customFormat="1" ht="15.75" customHeight="1" x14ac:dyDescent="0.3"/>
    <row r="152" s="88" customFormat="1" ht="15.75" customHeight="1" x14ac:dyDescent="0.3"/>
    <row r="153" s="88" customFormat="1" ht="15.75" customHeight="1" x14ac:dyDescent="0.3"/>
    <row r="154" s="88" customFormat="1" ht="15.75" customHeight="1" x14ac:dyDescent="0.3"/>
    <row r="155" s="88" customFormat="1" ht="15.75" customHeight="1" x14ac:dyDescent="0.3"/>
    <row r="156" s="88" customFormat="1" ht="15.75" customHeight="1" x14ac:dyDescent="0.3"/>
    <row r="157" s="88" customFormat="1" ht="15.75" customHeight="1" x14ac:dyDescent="0.3"/>
    <row r="158" s="88" customFormat="1" ht="15.75" customHeight="1" x14ac:dyDescent="0.3"/>
    <row r="159" s="88" customFormat="1" ht="15.75" customHeight="1" x14ac:dyDescent="0.3"/>
    <row r="160" s="88" customFormat="1" ht="15.75" customHeight="1" x14ac:dyDescent="0.3"/>
    <row r="161" s="88" customFormat="1" ht="15.75" customHeight="1" x14ac:dyDescent="0.3"/>
    <row r="162" s="88" customFormat="1" ht="15.75" customHeight="1" x14ac:dyDescent="0.3"/>
    <row r="163" s="88" customFormat="1" ht="15.75" customHeight="1" x14ac:dyDescent="0.3"/>
    <row r="164" s="88" customFormat="1" ht="15.75" customHeight="1" x14ac:dyDescent="0.3"/>
    <row r="165" s="88" customFormat="1" ht="15.75" customHeight="1" x14ac:dyDescent="0.3"/>
    <row r="166" s="88" customFormat="1" ht="15.75" customHeight="1" x14ac:dyDescent="0.3"/>
    <row r="167" s="88" customFormat="1" ht="15.75" customHeight="1" x14ac:dyDescent="0.3"/>
    <row r="168" s="88" customFormat="1" ht="15.75" customHeight="1" x14ac:dyDescent="0.3"/>
    <row r="169" s="88" customFormat="1" ht="15.75" customHeight="1" x14ac:dyDescent="0.3"/>
    <row r="170" s="88" customFormat="1" ht="15.75" customHeight="1" x14ac:dyDescent="0.3"/>
    <row r="171" s="88" customFormat="1" ht="15.75" customHeight="1" x14ac:dyDescent="0.3"/>
    <row r="172" s="88" customFormat="1" ht="15.75" customHeight="1" x14ac:dyDescent="0.3"/>
    <row r="173" s="88" customFormat="1" ht="15.75" customHeight="1" x14ac:dyDescent="0.3"/>
    <row r="174" s="88" customFormat="1" ht="15.75" customHeight="1" x14ac:dyDescent="0.3"/>
    <row r="175" s="88" customFormat="1" ht="15.75" customHeight="1" x14ac:dyDescent="0.3"/>
    <row r="176" s="88" customFormat="1" ht="15.75" customHeight="1" x14ac:dyDescent="0.3"/>
    <row r="177" s="88" customFormat="1" ht="15.75" customHeight="1" x14ac:dyDescent="0.3"/>
    <row r="178" s="88" customFormat="1" ht="15.75" customHeight="1" x14ac:dyDescent="0.3"/>
    <row r="179" s="88" customFormat="1" ht="15.75" customHeight="1" x14ac:dyDescent="0.3"/>
    <row r="180" s="88" customFormat="1" ht="15.75" customHeight="1" x14ac:dyDescent="0.3"/>
    <row r="181" s="88" customFormat="1" ht="15.75" customHeight="1" x14ac:dyDescent="0.3"/>
    <row r="182" s="88" customFormat="1" ht="15.75" customHeight="1" x14ac:dyDescent="0.3"/>
    <row r="183" s="88" customFormat="1" ht="15.75" customHeight="1" x14ac:dyDescent="0.3"/>
    <row r="184" s="88" customFormat="1" ht="15.75" customHeight="1" x14ac:dyDescent="0.3"/>
    <row r="185" s="88" customFormat="1" ht="15.75" customHeight="1" x14ac:dyDescent="0.3"/>
    <row r="186" s="88" customFormat="1" ht="15.75" customHeight="1" x14ac:dyDescent="0.3"/>
    <row r="187" s="88" customFormat="1" ht="15.75" customHeight="1" x14ac:dyDescent="0.3"/>
    <row r="188" s="88" customFormat="1" ht="15.75" customHeight="1" x14ac:dyDescent="0.3"/>
    <row r="189" s="88" customFormat="1" ht="15.75" customHeight="1" x14ac:dyDescent="0.3"/>
    <row r="190" s="88" customFormat="1" ht="15.75" customHeight="1" x14ac:dyDescent="0.3"/>
    <row r="191" s="88" customFormat="1" ht="15.75" customHeight="1" x14ac:dyDescent="0.3"/>
    <row r="192" s="88" customFormat="1" ht="15.75" customHeight="1" x14ac:dyDescent="0.3"/>
    <row r="193" s="88" customFormat="1" ht="15.75" customHeight="1" x14ac:dyDescent="0.3"/>
    <row r="194" s="88" customFormat="1" ht="15.75" customHeight="1" x14ac:dyDescent="0.3"/>
    <row r="195" s="88" customFormat="1" ht="15.75" customHeight="1" x14ac:dyDescent="0.3"/>
    <row r="196" s="88" customFormat="1" ht="15.75" customHeight="1" x14ac:dyDescent="0.3"/>
    <row r="197" s="88" customFormat="1" ht="15.75" customHeight="1" x14ac:dyDescent="0.3"/>
    <row r="198" s="88" customFormat="1" ht="15.75" customHeight="1" x14ac:dyDescent="0.3"/>
    <row r="199" s="88" customFormat="1" ht="15.75" customHeight="1" x14ac:dyDescent="0.3"/>
    <row r="200" s="88" customFormat="1" ht="15.75" customHeight="1" x14ac:dyDescent="0.3"/>
    <row r="201" s="88" customFormat="1" ht="15.75" customHeight="1" x14ac:dyDescent="0.3"/>
    <row r="202" s="88" customFormat="1" ht="15.75" customHeight="1" x14ac:dyDescent="0.3"/>
    <row r="203" s="88" customFormat="1" ht="15.75" customHeight="1" x14ac:dyDescent="0.3"/>
    <row r="204" s="88" customFormat="1" ht="15.75" customHeight="1" x14ac:dyDescent="0.3"/>
    <row r="205" s="88" customFormat="1" ht="15.75" customHeight="1" x14ac:dyDescent="0.3"/>
    <row r="206" s="88" customFormat="1" ht="15.75" customHeight="1" x14ac:dyDescent="0.3"/>
    <row r="207" s="88" customFormat="1" ht="15.75" customHeight="1" x14ac:dyDescent="0.3"/>
    <row r="208" s="88" customFormat="1" ht="15.75" customHeight="1" x14ac:dyDescent="0.3"/>
    <row r="209" s="88" customFormat="1" ht="15.75" customHeight="1" x14ac:dyDescent="0.3"/>
    <row r="210" s="88" customFormat="1" ht="15.75" customHeight="1" x14ac:dyDescent="0.3"/>
    <row r="211" s="88" customFormat="1" ht="15.75" customHeight="1" x14ac:dyDescent="0.3"/>
    <row r="212" s="88" customFormat="1" ht="15.75" customHeight="1" x14ac:dyDescent="0.3"/>
    <row r="213" s="88" customFormat="1" ht="15.75" customHeight="1" x14ac:dyDescent="0.3"/>
    <row r="214" s="88" customFormat="1" ht="15.75" customHeight="1" x14ac:dyDescent="0.3"/>
    <row r="215" s="88" customFormat="1" ht="15.75" customHeight="1" x14ac:dyDescent="0.3"/>
    <row r="216" s="88" customFormat="1" ht="15.75" customHeight="1" x14ac:dyDescent="0.3"/>
    <row r="217" s="88" customFormat="1" ht="15.75" customHeight="1" x14ac:dyDescent="0.3"/>
    <row r="218" s="88" customFormat="1" ht="15.75" customHeight="1" x14ac:dyDescent="0.3"/>
    <row r="219" s="88" customFormat="1" ht="15.75" customHeight="1" x14ac:dyDescent="0.3"/>
    <row r="220" s="88" customFormat="1" ht="15.75" customHeight="1" x14ac:dyDescent="0.3"/>
    <row r="221" s="88" customFormat="1" ht="15.75" customHeight="1" x14ac:dyDescent="0.3"/>
    <row r="222" s="88" customFormat="1" ht="15.75" customHeight="1" x14ac:dyDescent="0.3"/>
    <row r="223" s="88" customFormat="1" ht="15.75" customHeight="1" x14ac:dyDescent="0.3"/>
    <row r="224" s="88" customFormat="1" ht="15.75" customHeight="1" x14ac:dyDescent="0.3"/>
    <row r="225" s="88" customFormat="1" ht="15.75" customHeight="1" x14ac:dyDescent="0.3"/>
    <row r="226" s="88" customFormat="1" ht="15.75" customHeight="1" x14ac:dyDescent="0.3"/>
    <row r="227" s="88" customFormat="1" ht="15.75" customHeight="1" x14ac:dyDescent="0.3"/>
    <row r="228" s="88" customFormat="1" ht="15.75" customHeight="1" x14ac:dyDescent="0.3"/>
    <row r="229" s="88" customFormat="1" ht="15.75" customHeight="1" x14ac:dyDescent="0.3"/>
    <row r="230" s="88" customFormat="1" ht="15.75" customHeight="1" x14ac:dyDescent="0.3"/>
    <row r="231" s="88" customFormat="1" ht="15.75" customHeight="1" x14ac:dyDescent="0.3"/>
    <row r="232" s="88" customFormat="1" ht="15.75" customHeight="1" x14ac:dyDescent="0.3"/>
    <row r="233" s="88" customFormat="1" ht="15.75" customHeight="1" x14ac:dyDescent="0.3"/>
    <row r="234" s="88" customFormat="1" ht="15.75" customHeight="1" x14ac:dyDescent="0.3"/>
    <row r="235" s="88" customFormat="1" ht="15.75" customHeight="1" x14ac:dyDescent="0.3"/>
    <row r="236" s="88" customFormat="1" ht="15.75" customHeight="1" x14ac:dyDescent="0.3"/>
    <row r="237" s="88" customFormat="1" ht="15.75" customHeight="1" x14ac:dyDescent="0.3"/>
    <row r="238" s="88" customFormat="1" ht="15.75" customHeight="1" x14ac:dyDescent="0.3"/>
    <row r="239" s="88" customFormat="1" ht="15.75" customHeight="1" x14ac:dyDescent="0.3"/>
    <row r="240" s="88" customFormat="1" ht="15.75" customHeight="1" x14ac:dyDescent="0.3"/>
    <row r="241" s="88" customFormat="1" ht="15.75" customHeight="1" x14ac:dyDescent="0.3"/>
    <row r="242" s="88" customFormat="1" ht="15.75" customHeight="1" x14ac:dyDescent="0.3"/>
    <row r="243" s="88" customFormat="1" ht="15.75" customHeight="1" x14ac:dyDescent="0.3"/>
    <row r="244" s="88" customFormat="1" ht="15.75" customHeight="1" x14ac:dyDescent="0.3"/>
    <row r="245" s="88" customFormat="1" ht="15.75" customHeight="1" x14ac:dyDescent="0.3"/>
    <row r="246" s="88" customFormat="1" ht="15.75" customHeight="1" x14ac:dyDescent="0.3"/>
    <row r="247" s="88" customFormat="1" ht="15.75" customHeight="1" x14ac:dyDescent="0.3"/>
    <row r="248" s="88" customFormat="1" ht="15.75" customHeight="1" x14ac:dyDescent="0.3"/>
    <row r="249" s="88" customFormat="1" ht="15.75" customHeight="1" x14ac:dyDescent="0.3"/>
    <row r="250" s="88" customFormat="1" ht="15.75" customHeight="1" x14ac:dyDescent="0.3"/>
    <row r="251" s="88" customFormat="1" ht="15.75" customHeight="1" x14ac:dyDescent="0.3"/>
    <row r="252" s="88" customFormat="1" ht="15.75" customHeight="1" x14ac:dyDescent="0.3"/>
    <row r="253" s="88" customFormat="1" ht="15.75" customHeight="1" x14ac:dyDescent="0.3"/>
    <row r="254" s="88" customFormat="1" ht="15.75" customHeight="1" x14ac:dyDescent="0.3"/>
    <row r="255" s="88" customFormat="1" ht="15.75" customHeight="1" x14ac:dyDescent="0.3"/>
    <row r="256" s="88" customFormat="1" ht="15.75" customHeight="1" x14ac:dyDescent="0.3"/>
    <row r="257" s="88" customFormat="1" ht="15.75" customHeight="1" x14ac:dyDescent="0.3"/>
    <row r="258" s="88" customFormat="1" ht="15.75" customHeight="1" x14ac:dyDescent="0.3"/>
    <row r="259" s="88" customFormat="1" ht="15.75" customHeight="1" x14ac:dyDescent="0.3"/>
    <row r="260" s="88" customFormat="1" ht="15.75" customHeight="1" x14ac:dyDescent="0.3"/>
    <row r="261" s="88" customFormat="1" ht="15.75" customHeight="1" x14ac:dyDescent="0.3"/>
    <row r="262" s="88" customFormat="1" ht="15.75" customHeight="1" x14ac:dyDescent="0.3"/>
    <row r="263" s="88" customFormat="1" ht="15.75" customHeight="1" x14ac:dyDescent="0.3"/>
    <row r="264" s="88" customFormat="1" ht="15.75" customHeight="1" x14ac:dyDescent="0.3"/>
    <row r="265" s="88" customFormat="1" ht="15.75" customHeight="1" x14ac:dyDescent="0.3"/>
    <row r="266" s="88" customFormat="1" ht="15.75" customHeight="1" x14ac:dyDescent="0.3"/>
    <row r="267" s="88" customFormat="1" ht="15.75" customHeight="1" x14ac:dyDescent="0.3"/>
    <row r="268" s="88" customFormat="1" ht="15.75" customHeight="1" x14ac:dyDescent="0.3"/>
    <row r="269" s="88" customFormat="1" ht="15.75" customHeight="1" x14ac:dyDescent="0.3"/>
    <row r="270" s="88" customFormat="1" ht="15.75" customHeight="1" x14ac:dyDescent="0.3"/>
    <row r="271" s="88" customFormat="1" ht="15.75" customHeight="1" x14ac:dyDescent="0.3"/>
    <row r="272" s="88" customFormat="1" ht="15.75" customHeight="1" x14ac:dyDescent="0.3"/>
    <row r="273" s="88" customFormat="1" ht="15.75" customHeight="1" x14ac:dyDescent="0.3"/>
    <row r="274" s="88" customFormat="1" ht="15.75" customHeight="1" x14ac:dyDescent="0.3"/>
    <row r="275" s="88" customFormat="1" ht="15.75" customHeight="1" x14ac:dyDescent="0.3"/>
    <row r="276" s="88" customFormat="1" ht="15.75" customHeight="1" x14ac:dyDescent="0.3"/>
    <row r="277" s="88" customFormat="1" ht="15.75" customHeight="1" x14ac:dyDescent="0.3"/>
    <row r="278" s="88" customFormat="1" ht="15.75" customHeight="1" x14ac:dyDescent="0.3"/>
    <row r="279" s="88" customFormat="1" ht="15.75" customHeight="1" x14ac:dyDescent="0.3"/>
    <row r="280" s="88" customFormat="1" ht="15.75" customHeight="1" x14ac:dyDescent="0.3"/>
    <row r="281" s="88" customFormat="1" ht="15.75" customHeight="1" x14ac:dyDescent="0.3"/>
    <row r="282" s="88" customFormat="1" ht="15.75" customHeight="1" x14ac:dyDescent="0.3"/>
    <row r="283" s="88" customFormat="1" ht="15.75" customHeight="1" x14ac:dyDescent="0.3"/>
    <row r="284" s="88" customFormat="1" ht="15.75" customHeight="1" x14ac:dyDescent="0.3"/>
    <row r="285" s="88" customFormat="1" ht="15.75" customHeight="1" x14ac:dyDescent="0.3"/>
    <row r="286" s="88" customFormat="1" ht="15.75" customHeight="1" x14ac:dyDescent="0.3"/>
    <row r="287" s="88" customFormat="1" ht="15.75" customHeight="1" x14ac:dyDescent="0.3"/>
    <row r="288" s="88" customFormat="1" ht="15.75" customHeight="1" x14ac:dyDescent="0.3"/>
    <row r="289" s="88" customFormat="1" ht="15.75" customHeight="1" x14ac:dyDescent="0.3"/>
    <row r="290" s="88" customFormat="1" ht="15.75" customHeight="1" x14ac:dyDescent="0.3"/>
    <row r="291" s="88" customFormat="1" ht="15.75" customHeight="1" x14ac:dyDescent="0.3"/>
    <row r="292" s="88" customFormat="1" ht="15.75" customHeight="1" x14ac:dyDescent="0.3"/>
    <row r="293" s="88" customFormat="1" ht="15.75" customHeight="1" x14ac:dyDescent="0.3"/>
    <row r="294" s="88" customFormat="1" ht="15.75" customHeight="1" x14ac:dyDescent="0.3"/>
    <row r="295" s="88" customFormat="1" ht="15.75" customHeight="1" x14ac:dyDescent="0.3"/>
    <row r="296" s="88" customFormat="1" ht="15.75" customHeight="1" x14ac:dyDescent="0.3"/>
    <row r="297" s="88" customFormat="1" ht="15.75" customHeight="1" x14ac:dyDescent="0.3"/>
    <row r="298" s="88" customFormat="1" ht="15.75" customHeight="1" x14ac:dyDescent="0.3"/>
    <row r="299" s="88" customFormat="1" ht="15.75" customHeight="1" x14ac:dyDescent="0.3"/>
    <row r="300" s="88" customFormat="1" ht="15.75" customHeight="1" x14ac:dyDescent="0.3"/>
    <row r="301" s="88" customFormat="1" ht="15.75" customHeight="1" x14ac:dyDescent="0.3"/>
    <row r="302" s="88" customFormat="1" ht="15.75" customHeight="1" x14ac:dyDescent="0.3"/>
    <row r="303" s="88" customFormat="1" ht="15.75" customHeight="1" x14ac:dyDescent="0.3"/>
    <row r="304" s="88" customFormat="1" ht="15.75" customHeight="1" x14ac:dyDescent="0.3"/>
    <row r="305" s="88" customFormat="1" ht="15.75" customHeight="1" x14ac:dyDescent="0.3"/>
    <row r="306" s="88" customFormat="1" ht="15.75" customHeight="1" x14ac:dyDescent="0.3"/>
    <row r="307" s="88" customFormat="1" ht="15.75" customHeight="1" x14ac:dyDescent="0.3"/>
    <row r="308" s="88" customFormat="1" ht="15.75" customHeight="1" x14ac:dyDescent="0.3"/>
    <row r="309" s="88" customFormat="1" ht="15.75" customHeight="1" x14ac:dyDescent="0.3"/>
    <row r="310" s="88" customFormat="1" ht="15.75" customHeight="1" x14ac:dyDescent="0.3"/>
    <row r="311" s="88" customFormat="1" ht="15.75" customHeight="1" x14ac:dyDescent="0.3"/>
    <row r="312" s="88" customFormat="1" ht="15.75" customHeight="1" x14ac:dyDescent="0.3"/>
    <row r="313" s="88" customFormat="1" ht="15.75" customHeight="1" x14ac:dyDescent="0.3"/>
    <row r="314" s="88" customFormat="1" ht="15.75" customHeight="1" x14ac:dyDescent="0.3"/>
    <row r="315" s="88" customFormat="1" ht="15.75" customHeight="1" x14ac:dyDescent="0.3"/>
    <row r="316" s="88" customFormat="1" ht="15.75" customHeight="1" x14ac:dyDescent="0.3"/>
    <row r="317" s="88" customFormat="1" ht="15.75" customHeight="1" x14ac:dyDescent="0.3"/>
    <row r="318" s="88" customFormat="1" ht="15.75" customHeight="1" x14ac:dyDescent="0.3"/>
    <row r="319" s="88" customFormat="1" ht="15.75" customHeight="1" x14ac:dyDescent="0.3"/>
    <row r="320" s="88" customFormat="1" ht="15.75" customHeight="1" x14ac:dyDescent="0.3"/>
    <row r="321" s="88" customFormat="1" ht="15.75" customHeight="1" x14ac:dyDescent="0.3"/>
    <row r="322" s="88" customFormat="1" ht="15.75" customHeight="1" x14ac:dyDescent="0.3"/>
    <row r="323" s="88" customFormat="1" ht="15.75" customHeight="1" x14ac:dyDescent="0.3"/>
    <row r="324" s="88" customFormat="1" ht="15.75" customHeight="1" x14ac:dyDescent="0.3"/>
    <row r="325" s="88" customFormat="1" ht="15.75" customHeight="1" x14ac:dyDescent="0.3"/>
    <row r="326" s="88" customFormat="1" ht="15.75" customHeight="1" x14ac:dyDescent="0.3"/>
    <row r="327" s="88" customFormat="1" ht="15.75" customHeight="1" x14ac:dyDescent="0.3"/>
    <row r="328" s="88" customFormat="1" ht="15.75" customHeight="1" x14ac:dyDescent="0.3"/>
    <row r="329" s="88" customFormat="1" ht="15.75" customHeight="1" x14ac:dyDescent="0.3"/>
    <row r="330" s="88" customFormat="1" ht="15.75" customHeight="1" x14ac:dyDescent="0.3"/>
    <row r="331" s="88" customFormat="1" ht="15.75" customHeight="1" x14ac:dyDescent="0.3"/>
    <row r="332" s="88" customFormat="1" ht="15.75" customHeight="1" x14ac:dyDescent="0.3"/>
    <row r="333" s="88" customFormat="1" ht="15.75" customHeight="1" x14ac:dyDescent="0.3"/>
    <row r="334" s="88" customFormat="1" ht="15.75" customHeight="1" x14ac:dyDescent="0.3"/>
    <row r="335" s="88" customFormat="1" ht="15.75" customHeight="1" x14ac:dyDescent="0.3"/>
    <row r="336" s="88" customFormat="1" ht="15.75" customHeight="1" x14ac:dyDescent="0.3"/>
    <row r="337" s="88" customFormat="1" ht="15.75" customHeight="1" x14ac:dyDescent="0.3"/>
    <row r="338" s="88" customFormat="1" ht="15.75" customHeight="1" x14ac:dyDescent="0.3"/>
    <row r="339" s="88" customFormat="1" ht="15.75" customHeight="1" x14ac:dyDescent="0.3"/>
    <row r="340" s="88" customFormat="1" ht="15.75" customHeight="1" x14ac:dyDescent="0.3"/>
    <row r="341" s="88" customFormat="1" ht="15.75" customHeight="1" x14ac:dyDescent="0.3"/>
    <row r="342" s="88" customFormat="1" ht="15.75" customHeight="1" x14ac:dyDescent="0.3"/>
    <row r="343" s="88" customFormat="1" ht="15.75" customHeight="1" x14ac:dyDescent="0.3"/>
    <row r="344" s="88" customFormat="1" ht="15.75" customHeight="1" x14ac:dyDescent="0.3"/>
    <row r="345" s="88" customFormat="1" ht="15.75" customHeight="1" x14ac:dyDescent="0.3"/>
    <row r="346" s="88" customFormat="1" ht="15.75" customHeight="1" x14ac:dyDescent="0.3"/>
    <row r="347" s="88" customFormat="1" ht="15.75" customHeight="1" x14ac:dyDescent="0.3"/>
    <row r="348" s="88" customFormat="1" ht="15.75" customHeight="1" x14ac:dyDescent="0.3"/>
    <row r="349" s="88" customFormat="1" ht="15.75" customHeight="1" x14ac:dyDescent="0.3"/>
    <row r="350" s="88" customFormat="1" ht="15.75" customHeight="1" x14ac:dyDescent="0.3"/>
    <row r="351" s="88" customFormat="1" ht="15.75" customHeight="1" x14ac:dyDescent="0.3"/>
    <row r="352" s="88" customFormat="1" ht="15.75" customHeight="1" x14ac:dyDescent="0.3"/>
    <row r="353" s="88" customFormat="1" ht="15.75" customHeight="1" x14ac:dyDescent="0.3"/>
    <row r="354" s="88" customFormat="1" ht="15.75" customHeight="1" x14ac:dyDescent="0.3"/>
    <row r="355" s="88" customFormat="1" ht="15.75" customHeight="1" x14ac:dyDescent="0.3"/>
    <row r="356" s="88" customFormat="1" ht="15.75" customHeight="1" x14ac:dyDescent="0.3"/>
    <row r="357" s="88" customFormat="1" ht="15.75" customHeight="1" x14ac:dyDescent="0.3"/>
    <row r="358" s="88" customFormat="1" ht="15.75" customHeight="1" x14ac:dyDescent="0.3"/>
    <row r="359" s="88" customFormat="1" ht="15.75" customHeight="1" x14ac:dyDescent="0.3"/>
    <row r="360" s="88" customFormat="1" ht="15.75" customHeight="1" x14ac:dyDescent="0.3"/>
    <row r="361" s="88" customFormat="1" ht="15.75" customHeight="1" x14ac:dyDescent="0.3"/>
    <row r="362" s="88" customFormat="1" ht="15.75" customHeight="1" x14ac:dyDescent="0.3"/>
    <row r="363" s="88" customFormat="1" ht="15.75" customHeight="1" x14ac:dyDescent="0.3"/>
    <row r="364" s="88" customFormat="1" ht="15.75" customHeight="1" x14ac:dyDescent="0.3"/>
    <row r="365" s="88" customFormat="1" ht="15.75" customHeight="1" x14ac:dyDescent="0.3"/>
    <row r="366" s="88" customFormat="1" ht="15.75" customHeight="1" x14ac:dyDescent="0.3"/>
    <row r="367" s="88" customFormat="1" ht="15.75" customHeight="1" x14ac:dyDescent="0.3"/>
    <row r="368" s="88" customFormat="1" ht="15.75" customHeight="1" x14ac:dyDescent="0.3"/>
    <row r="369" s="88" customFormat="1" ht="15.75" customHeight="1" x14ac:dyDescent="0.3"/>
    <row r="370" s="88" customFormat="1" ht="15.75" customHeight="1" x14ac:dyDescent="0.3"/>
    <row r="371" s="88" customFormat="1" ht="15.75" customHeight="1" x14ac:dyDescent="0.3"/>
    <row r="372" s="88" customFormat="1" ht="15.75" customHeight="1" x14ac:dyDescent="0.3"/>
    <row r="373" s="88" customFormat="1" ht="15.75" customHeight="1" x14ac:dyDescent="0.3"/>
    <row r="374" s="88" customFormat="1" ht="15.75" customHeight="1" x14ac:dyDescent="0.3"/>
    <row r="375" s="88" customFormat="1" ht="15.75" customHeight="1" x14ac:dyDescent="0.3"/>
    <row r="376" s="88" customFormat="1" ht="15.75" customHeight="1" x14ac:dyDescent="0.3"/>
    <row r="377" s="88" customFormat="1" ht="15.75" customHeight="1" x14ac:dyDescent="0.3"/>
    <row r="378" s="88" customFormat="1" ht="15.75" customHeight="1" x14ac:dyDescent="0.3"/>
    <row r="379" s="88" customFormat="1" ht="15.75" customHeight="1" x14ac:dyDescent="0.3"/>
    <row r="380" s="88" customFormat="1" ht="15.75" customHeight="1" x14ac:dyDescent="0.3"/>
    <row r="381" s="88" customFormat="1" ht="15.75" customHeight="1" x14ac:dyDescent="0.3"/>
    <row r="382" s="88" customFormat="1" ht="15.75" customHeight="1" x14ac:dyDescent="0.3"/>
    <row r="383" s="88" customFormat="1" ht="15.75" customHeight="1" x14ac:dyDescent="0.3"/>
    <row r="384" s="88" customFormat="1" ht="15.75" customHeight="1" x14ac:dyDescent="0.3"/>
    <row r="385" s="88" customFormat="1" ht="15.75" customHeight="1" x14ac:dyDescent="0.3"/>
    <row r="386" s="88" customFormat="1" ht="15.75" customHeight="1" x14ac:dyDescent="0.3"/>
    <row r="387" s="88" customFormat="1" ht="15.75" customHeight="1" x14ac:dyDescent="0.3"/>
    <row r="388" s="88" customFormat="1" ht="15.75" customHeight="1" x14ac:dyDescent="0.3"/>
    <row r="389" s="88" customFormat="1" ht="15.75" customHeight="1" x14ac:dyDescent="0.3"/>
    <row r="390" s="88" customFormat="1" ht="15.75" customHeight="1" x14ac:dyDescent="0.3"/>
    <row r="391" s="88" customFormat="1" ht="15.75" customHeight="1" x14ac:dyDescent="0.3"/>
    <row r="392" s="88" customFormat="1" ht="15.75" customHeight="1" x14ac:dyDescent="0.3"/>
    <row r="393" s="88" customFormat="1" ht="15.75" customHeight="1" x14ac:dyDescent="0.3"/>
    <row r="394" s="88" customFormat="1" ht="15.75" customHeight="1" x14ac:dyDescent="0.3"/>
    <row r="395" s="88" customFormat="1" ht="15.75" customHeight="1" x14ac:dyDescent="0.3"/>
    <row r="396" s="88" customFormat="1" ht="15.75" customHeight="1" x14ac:dyDescent="0.3"/>
    <row r="397" s="88" customFormat="1" ht="15.75" customHeight="1" x14ac:dyDescent="0.3"/>
    <row r="398" s="88" customFormat="1" ht="15.75" customHeight="1" x14ac:dyDescent="0.3"/>
    <row r="399" s="88" customFormat="1" ht="15.75" customHeight="1" x14ac:dyDescent="0.3"/>
    <row r="400" s="88" customFormat="1" ht="15.75" customHeight="1" x14ac:dyDescent="0.3"/>
    <row r="401" s="88" customFormat="1" ht="15.75" customHeight="1" x14ac:dyDescent="0.3"/>
    <row r="402" s="88" customFormat="1" ht="15.75" customHeight="1" x14ac:dyDescent="0.3"/>
    <row r="403" s="88" customFormat="1" ht="15.75" customHeight="1" x14ac:dyDescent="0.3"/>
    <row r="404" s="88" customFormat="1" ht="15.75" customHeight="1" x14ac:dyDescent="0.3"/>
    <row r="405" s="88" customFormat="1" ht="15.75" customHeight="1" x14ac:dyDescent="0.3"/>
    <row r="406" s="88" customFormat="1" ht="15.75" customHeight="1" x14ac:dyDescent="0.3"/>
    <row r="407" s="88" customFormat="1" ht="15.75" customHeight="1" x14ac:dyDescent="0.3"/>
    <row r="408" s="88" customFormat="1" ht="15.75" customHeight="1" x14ac:dyDescent="0.3"/>
    <row r="409" s="88" customFormat="1" ht="15.75" customHeight="1" x14ac:dyDescent="0.3"/>
    <row r="410" s="88" customFormat="1" ht="15.75" customHeight="1" x14ac:dyDescent="0.3"/>
    <row r="411" s="88" customFormat="1" ht="15.75" customHeight="1" x14ac:dyDescent="0.3"/>
    <row r="412" s="88" customFormat="1" ht="15.75" customHeight="1" x14ac:dyDescent="0.3"/>
    <row r="413" s="88" customFormat="1" ht="15.75" customHeight="1" x14ac:dyDescent="0.3"/>
    <row r="414" s="88" customFormat="1" ht="15.75" customHeight="1" x14ac:dyDescent="0.3"/>
    <row r="415" s="88" customFormat="1" ht="15.75" customHeight="1" x14ac:dyDescent="0.3"/>
    <row r="416" s="88" customFormat="1" ht="15.75" customHeight="1" x14ac:dyDescent="0.3"/>
    <row r="417" s="88" customFormat="1" ht="15.75" customHeight="1" x14ac:dyDescent="0.3"/>
    <row r="418" s="88" customFormat="1" ht="15.75" customHeight="1" x14ac:dyDescent="0.3"/>
    <row r="419" s="88" customFormat="1" ht="15.75" customHeight="1" x14ac:dyDescent="0.3"/>
    <row r="420" s="88" customFormat="1" ht="15.75" customHeight="1" x14ac:dyDescent="0.3"/>
    <row r="421" s="88" customFormat="1" ht="15.75" customHeight="1" x14ac:dyDescent="0.3"/>
    <row r="422" s="88" customFormat="1" ht="15.75" customHeight="1" x14ac:dyDescent="0.3"/>
    <row r="423" s="88" customFormat="1" ht="15.75" customHeight="1" x14ac:dyDescent="0.3"/>
    <row r="424" s="88" customFormat="1" ht="15.75" customHeight="1" x14ac:dyDescent="0.3"/>
    <row r="425" s="88" customFormat="1" ht="15.75" customHeight="1" x14ac:dyDescent="0.3"/>
    <row r="426" s="88" customFormat="1" ht="15.75" customHeight="1" x14ac:dyDescent="0.3"/>
    <row r="427" s="88" customFormat="1" ht="15.75" customHeight="1" x14ac:dyDescent="0.3"/>
    <row r="428" s="88" customFormat="1" ht="15.75" customHeight="1" x14ac:dyDescent="0.3"/>
    <row r="429" s="88" customFormat="1" ht="15.75" customHeight="1" x14ac:dyDescent="0.3"/>
    <row r="430" s="88" customFormat="1" ht="15.75" customHeight="1" x14ac:dyDescent="0.3"/>
    <row r="431" s="88" customFormat="1" ht="15.75" customHeight="1" x14ac:dyDescent="0.3"/>
    <row r="432" s="88" customFormat="1" ht="15.75" customHeight="1" x14ac:dyDescent="0.3"/>
    <row r="433" s="88" customFormat="1" ht="15.75" customHeight="1" x14ac:dyDescent="0.3"/>
    <row r="434" s="88" customFormat="1" ht="15.75" customHeight="1" x14ac:dyDescent="0.3"/>
    <row r="435" s="88" customFormat="1" ht="15.75" customHeight="1" x14ac:dyDescent="0.3"/>
    <row r="436" s="88" customFormat="1" ht="15.75" customHeight="1" x14ac:dyDescent="0.3"/>
    <row r="437" s="88" customFormat="1" ht="15.75" customHeight="1" x14ac:dyDescent="0.3"/>
    <row r="438" s="88" customFormat="1" ht="15.75" customHeight="1" x14ac:dyDescent="0.3"/>
    <row r="439" s="88" customFormat="1" ht="15.75" customHeight="1" x14ac:dyDescent="0.3"/>
    <row r="440" s="88" customFormat="1" ht="15.75" customHeight="1" x14ac:dyDescent="0.3"/>
    <row r="441" s="88" customFormat="1" ht="15.75" customHeight="1" x14ac:dyDescent="0.3"/>
    <row r="442" s="88" customFormat="1" ht="15.75" customHeight="1" x14ac:dyDescent="0.3"/>
    <row r="443" s="88" customFormat="1" ht="15.75" customHeight="1" x14ac:dyDescent="0.3"/>
    <row r="444" s="88" customFormat="1" ht="15.75" customHeight="1" x14ac:dyDescent="0.3"/>
    <row r="445" s="88" customFormat="1" ht="15.75" customHeight="1" x14ac:dyDescent="0.3"/>
    <row r="446" s="88" customFormat="1" ht="15.75" customHeight="1" x14ac:dyDescent="0.3"/>
    <row r="447" s="88" customFormat="1" ht="15.75" customHeight="1" x14ac:dyDescent="0.3"/>
    <row r="448" s="88" customFormat="1" ht="15.75" customHeight="1" x14ac:dyDescent="0.3"/>
    <row r="449" s="88" customFormat="1" ht="15.75" customHeight="1" x14ac:dyDescent="0.3"/>
    <row r="450" s="88" customFormat="1" ht="15.75" customHeight="1" x14ac:dyDescent="0.3"/>
    <row r="451" s="88" customFormat="1" ht="15.75" customHeight="1" x14ac:dyDescent="0.3"/>
    <row r="452" s="88" customFormat="1" ht="15.75" customHeight="1" x14ac:dyDescent="0.3"/>
    <row r="453" s="88" customFormat="1" ht="15.75" customHeight="1" x14ac:dyDescent="0.3"/>
    <row r="454" s="88" customFormat="1" ht="15.75" customHeight="1" x14ac:dyDescent="0.3"/>
    <row r="455" s="88" customFormat="1" ht="15.75" customHeight="1" x14ac:dyDescent="0.3"/>
    <row r="456" s="88" customFormat="1" ht="15.75" customHeight="1" x14ac:dyDescent="0.3"/>
    <row r="457" s="88" customFormat="1" ht="15.75" customHeight="1" x14ac:dyDescent="0.3"/>
    <row r="458" s="88" customFormat="1" ht="15.75" customHeight="1" x14ac:dyDescent="0.3"/>
    <row r="459" s="88" customFormat="1" ht="15.75" customHeight="1" x14ac:dyDescent="0.3"/>
    <row r="460" s="88" customFormat="1" ht="15.75" customHeight="1" x14ac:dyDescent="0.3"/>
    <row r="461" s="88" customFormat="1" ht="15.75" customHeight="1" x14ac:dyDescent="0.3"/>
    <row r="462" s="88" customFormat="1" ht="15.75" customHeight="1" x14ac:dyDescent="0.3"/>
    <row r="463" s="88" customFormat="1" ht="15.75" customHeight="1" x14ac:dyDescent="0.3"/>
    <row r="464" s="88" customFormat="1" ht="15.75" customHeight="1" x14ac:dyDescent="0.3"/>
    <row r="465" s="88" customFormat="1" ht="15.75" customHeight="1" x14ac:dyDescent="0.3"/>
    <row r="466" s="88" customFormat="1" ht="15.75" customHeight="1" x14ac:dyDescent="0.3"/>
    <row r="467" s="88" customFormat="1" ht="15.75" customHeight="1" x14ac:dyDescent="0.3"/>
    <row r="468" s="88" customFormat="1" ht="15.75" customHeight="1" x14ac:dyDescent="0.3"/>
    <row r="469" s="88" customFormat="1" ht="15.75" customHeight="1" x14ac:dyDescent="0.3"/>
    <row r="470" s="88" customFormat="1" ht="15.75" customHeight="1" x14ac:dyDescent="0.3"/>
    <row r="471" s="88" customFormat="1" ht="15.75" customHeight="1" x14ac:dyDescent="0.3"/>
    <row r="472" s="88" customFormat="1" ht="15.75" customHeight="1" x14ac:dyDescent="0.3"/>
    <row r="473" s="88" customFormat="1" ht="15.75" customHeight="1" x14ac:dyDescent="0.3"/>
    <row r="474" s="88" customFormat="1" ht="15.75" customHeight="1" x14ac:dyDescent="0.3"/>
    <row r="475" s="88" customFormat="1" ht="15.75" customHeight="1" x14ac:dyDescent="0.3"/>
    <row r="476" s="88" customFormat="1" ht="15.75" customHeight="1" x14ac:dyDescent="0.3"/>
    <row r="477" s="88" customFormat="1" ht="15.75" customHeight="1" x14ac:dyDescent="0.3"/>
    <row r="478" s="88" customFormat="1" ht="15.75" customHeight="1" x14ac:dyDescent="0.3"/>
    <row r="479" s="88" customFormat="1" ht="15.75" customHeight="1" x14ac:dyDescent="0.3"/>
    <row r="480" s="88" customFormat="1" ht="15.75" customHeight="1" x14ac:dyDescent="0.3"/>
    <row r="481" s="88" customFormat="1" ht="15.75" customHeight="1" x14ac:dyDescent="0.3"/>
    <row r="482" s="88" customFormat="1" ht="15.75" customHeight="1" x14ac:dyDescent="0.3"/>
    <row r="483" s="88" customFormat="1" ht="15.75" customHeight="1" x14ac:dyDescent="0.3"/>
    <row r="484" s="88" customFormat="1" ht="15.75" customHeight="1" x14ac:dyDescent="0.3"/>
    <row r="485" s="88" customFormat="1" ht="15.75" customHeight="1" x14ac:dyDescent="0.3"/>
    <row r="486" s="88" customFormat="1" ht="15.75" customHeight="1" x14ac:dyDescent="0.3"/>
    <row r="487" s="88" customFormat="1" ht="15.75" customHeight="1" x14ac:dyDescent="0.3"/>
    <row r="488" s="88" customFormat="1" ht="15.75" customHeight="1" x14ac:dyDescent="0.3"/>
    <row r="489" s="88" customFormat="1" ht="15.75" customHeight="1" x14ac:dyDescent="0.3"/>
    <row r="490" s="88" customFormat="1" ht="15.75" customHeight="1" x14ac:dyDescent="0.3"/>
    <row r="491" s="88" customFormat="1" ht="15.75" customHeight="1" x14ac:dyDescent="0.3"/>
    <row r="492" s="88" customFormat="1" ht="15.75" customHeight="1" x14ac:dyDescent="0.3"/>
    <row r="493" s="88" customFormat="1" ht="15.75" customHeight="1" x14ac:dyDescent="0.3"/>
    <row r="494" s="88" customFormat="1" ht="15.75" customHeight="1" x14ac:dyDescent="0.3"/>
    <row r="495" s="88" customFormat="1" ht="15.75" customHeight="1" x14ac:dyDescent="0.3"/>
    <row r="496" s="88" customFormat="1" ht="15.75" customHeight="1" x14ac:dyDescent="0.3"/>
    <row r="497" s="88" customFormat="1" ht="15.75" customHeight="1" x14ac:dyDescent="0.3"/>
    <row r="498" s="88" customFormat="1" ht="15.75" customHeight="1" x14ac:dyDescent="0.3"/>
    <row r="499" s="88" customFormat="1" ht="15.75" customHeight="1" x14ac:dyDescent="0.3"/>
    <row r="500" s="88" customFormat="1" ht="15.75" customHeight="1" x14ac:dyDescent="0.3"/>
    <row r="501" s="88" customFormat="1" ht="15.75" customHeight="1" x14ac:dyDescent="0.3"/>
    <row r="502" s="88" customFormat="1" ht="15.75" customHeight="1" x14ac:dyDescent="0.3"/>
    <row r="503" s="88" customFormat="1" ht="15.75" customHeight="1" x14ac:dyDescent="0.3"/>
    <row r="504" s="88" customFormat="1" ht="15.75" customHeight="1" x14ac:dyDescent="0.3"/>
    <row r="505" s="88" customFormat="1" ht="15.75" customHeight="1" x14ac:dyDescent="0.3"/>
    <row r="506" s="88" customFormat="1" ht="15.75" customHeight="1" x14ac:dyDescent="0.3"/>
    <row r="507" s="88" customFormat="1" ht="15.75" customHeight="1" x14ac:dyDescent="0.3"/>
    <row r="508" s="88" customFormat="1" ht="15.75" customHeight="1" x14ac:dyDescent="0.3"/>
    <row r="509" s="88" customFormat="1" ht="15.75" customHeight="1" x14ac:dyDescent="0.3"/>
    <row r="510" s="88" customFormat="1" ht="15.75" customHeight="1" x14ac:dyDescent="0.3"/>
    <row r="511" s="88" customFormat="1" ht="15.75" customHeight="1" x14ac:dyDescent="0.3"/>
    <row r="512" s="88" customFormat="1" ht="15.75" customHeight="1" x14ac:dyDescent="0.3"/>
    <row r="513" s="88" customFormat="1" ht="15.75" customHeight="1" x14ac:dyDescent="0.3"/>
    <row r="514" s="88" customFormat="1" ht="15.75" customHeight="1" x14ac:dyDescent="0.3"/>
    <row r="515" s="88" customFormat="1" ht="15.75" customHeight="1" x14ac:dyDescent="0.3"/>
    <row r="516" s="88" customFormat="1" ht="15.75" customHeight="1" x14ac:dyDescent="0.3"/>
    <row r="517" s="88" customFormat="1" ht="15.75" customHeight="1" x14ac:dyDescent="0.3"/>
    <row r="518" s="88" customFormat="1" ht="15.75" customHeight="1" x14ac:dyDescent="0.3"/>
    <row r="519" s="88" customFormat="1" ht="15.75" customHeight="1" x14ac:dyDescent="0.3"/>
    <row r="520" s="88" customFormat="1" ht="15.75" customHeight="1" x14ac:dyDescent="0.3"/>
    <row r="521" s="88" customFormat="1" ht="15.75" customHeight="1" x14ac:dyDescent="0.3"/>
    <row r="522" s="88" customFormat="1" ht="15.75" customHeight="1" x14ac:dyDescent="0.3"/>
    <row r="523" s="88" customFormat="1" ht="15.75" customHeight="1" x14ac:dyDescent="0.3"/>
    <row r="524" s="88" customFormat="1" ht="15.75" customHeight="1" x14ac:dyDescent="0.3"/>
    <row r="525" s="88" customFormat="1" ht="15.75" customHeight="1" x14ac:dyDescent="0.3"/>
    <row r="526" s="88" customFormat="1" ht="15.75" customHeight="1" x14ac:dyDescent="0.3"/>
    <row r="527" s="88" customFormat="1" ht="15.75" customHeight="1" x14ac:dyDescent="0.3"/>
    <row r="528" s="88" customFormat="1" ht="15.75" customHeight="1" x14ac:dyDescent="0.3"/>
    <row r="529" s="88" customFormat="1" ht="15.75" customHeight="1" x14ac:dyDescent="0.3"/>
    <row r="530" s="88" customFormat="1" ht="15.75" customHeight="1" x14ac:dyDescent="0.3"/>
    <row r="531" s="88" customFormat="1" ht="15.75" customHeight="1" x14ac:dyDescent="0.3"/>
    <row r="532" s="88" customFormat="1" ht="15.75" customHeight="1" x14ac:dyDescent="0.3"/>
    <row r="533" s="88" customFormat="1" ht="15.75" customHeight="1" x14ac:dyDescent="0.3"/>
    <row r="534" s="88" customFormat="1" ht="15.75" customHeight="1" x14ac:dyDescent="0.3"/>
    <row r="535" s="88" customFormat="1" ht="15.75" customHeight="1" x14ac:dyDescent="0.3"/>
    <row r="536" s="88" customFormat="1" ht="15.75" customHeight="1" x14ac:dyDescent="0.3"/>
    <row r="537" s="88" customFormat="1" ht="15.75" customHeight="1" x14ac:dyDescent="0.3"/>
    <row r="538" s="88" customFormat="1" ht="15.75" customHeight="1" x14ac:dyDescent="0.3"/>
    <row r="539" s="88" customFormat="1" ht="15.75" customHeight="1" x14ac:dyDescent="0.3"/>
    <row r="540" s="88" customFormat="1" ht="15.75" customHeight="1" x14ac:dyDescent="0.3"/>
    <row r="541" s="88" customFormat="1" ht="15.75" customHeight="1" x14ac:dyDescent="0.3"/>
    <row r="542" s="88" customFormat="1" ht="15.75" customHeight="1" x14ac:dyDescent="0.3"/>
    <row r="543" s="88" customFormat="1" ht="15.75" customHeight="1" x14ac:dyDescent="0.3"/>
    <row r="544" s="88" customFormat="1" ht="15.75" customHeight="1" x14ac:dyDescent="0.3"/>
    <row r="545" s="88" customFormat="1" ht="15.75" customHeight="1" x14ac:dyDescent="0.3"/>
    <row r="546" s="88" customFormat="1" ht="15.75" customHeight="1" x14ac:dyDescent="0.3"/>
    <row r="547" s="88" customFormat="1" ht="15.75" customHeight="1" x14ac:dyDescent="0.3"/>
    <row r="548" s="88" customFormat="1" ht="15.75" customHeight="1" x14ac:dyDescent="0.3"/>
    <row r="549" s="88" customFormat="1" ht="15.75" customHeight="1" x14ac:dyDescent="0.3"/>
    <row r="550" s="88" customFormat="1" ht="15.75" customHeight="1" x14ac:dyDescent="0.3"/>
    <row r="551" s="88" customFormat="1" ht="15.75" customHeight="1" x14ac:dyDescent="0.3"/>
    <row r="552" s="88" customFormat="1" ht="15.75" customHeight="1" x14ac:dyDescent="0.3"/>
    <row r="553" s="88" customFormat="1" ht="15.75" customHeight="1" x14ac:dyDescent="0.3"/>
    <row r="554" s="88" customFormat="1" ht="15.75" customHeight="1" x14ac:dyDescent="0.3"/>
    <row r="555" s="88" customFormat="1" ht="15.75" customHeight="1" x14ac:dyDescent="0.3"/>
    <row r="556" s="88" customFormat="1" ht="15.75" customHeight="1" x14ac:dyDescent="0.3"/>
    <row r="557" s="88" customFormat="1" ht="15.75" customHeight="1" x14ac:dyDescent="0.3"/>
    <row r="558" s="88" customFormat="1" ht="15.75" customHeight="1" x14ac:dyDescent="0.3"/>
    <row r="559" s="88" customFormat="1" ht="15.75" customHeight="1" x14ac:dyDescent="0.3"/>
    <row r="560" s="88" customFormat="1" ht="15.75" customHeight="1" x14ac:dyDescent="0.3"/>
    <row r="561" s="88" customFormat="1" ht="15.75" customHeight="1" x14ac:dyDescent="0.3"/>
    <row r="562" s="88" customFormat="1" ht="15.75" customHeight="1" x14ac:dyDescent="0.3"/>
    <row r="563" s="88" customFormat="1" ht="15.75" customHeight="1" x14ac:dyDescent="0.3"/>
    <row r="564" s="88" customFormat="1" ht="15.75" customHeight="1" x14ac:dyDescent="0.3"/>
    <row r="565" s="88" customFormat="1" ht="15.75" customHeight="1" x14ac:dyDescent="0.3"/>
    <row r="566" s="88" customFormat="1" ht="15.75" customHeight="1" x14ac:dyDescent="0.3"/>
    <row r="567" s="88" customFormat="1" ht="15.75" customHeight="1" x14ac:dyDescent="0.3"/>
    <row r="568" s="88" customFormat="1" ht="15.75" customHeight="1" x14ac:dyDescent="0.3"/>
    <row r="569" s="88" customFormat="1" ht="15.75" customHeight="1" x14ac:dyDescent="0.3"/>
    <row r="570" s="88" customFormat="1" ht="15.75" customHeight="1" x14ac:dyDescent="0.3"/>
    <row r="571" s="88" customFormat="1" ht="15.75" customHeight="1" x14ac:dyDescent="0.3"/>
    <row r="572" s="88" customFormat="1" ht="15.75" customHeight="1" x14ac:dyDescent="0.3"/>
    <row r="573" s="88" customFormat="1" ht="15.75" customHeight="1" x14ac:dyDescent="0.3"/>
    <row r="574" s="88" customFormat="1" ht="15.75" customHeight="1" x14ac:dyDescent="0.3"/>
    <row r="575" s="88" customFormat="1" ht="15.75" customHeight="1" x14ac:dyDescent="0.3"/>
    <row r="576" s="88" customFormat="1" ht="15.75" customHeight="1" x14ac:dyDescent="0.3"/>
    <row r="577" s="88" customFormat="1" ht="15.75" customHeight="1" x14ac:dyDescent="0.3"/>
    <row r="578" s="88" customFormat="1" ht="15.75" customHeight="1" x14ac:dyDescent="0.3"/>
    <row r="579" s="88" customFormat="1" ht="15.75" customHeight="1" x14ac:dyDescent="0.3"/>
    <row r="580" s="88" customFormat="1" ht="15.75" customHeight="1" x14ac:dyDescent="0.3"/>
    <row r="581" s="88" customFormat="1" ht="15.75" customHeight="1" x14ac:dyDescent="0.3"/>
    <row r="582" s="88" customFormat="1" ht="15.75" customHeight="1" x14ac:dyDescent="0.3"/>
    <row r="583" s="88" customFormat="1" ht="15.75" customHeight="1" x14ac:dyDescent="0.3"/>
    <row r="584" s="88" customFormat="1" ht="15.75" customHeight="1" x14ac:dyDescent="0.3"/>
    <row r="585" s="88" customFormat="1" ht="15.75" customHeight="1" x14ac:dyDescent="0.3"/>
    <row r="586" s="88" customFormat="1" ht="15.75" customHeight="1" x14ac:dyDescent="0.3"/>
    <row r="587" s="88" customFormat="1" ht="15.75" customHeight="1" x14ac:dyDescent="0.3"/>
    <row r="588" s="88" customFormat="1" ht="15.75" customHeight="1" x14ac:dyDescent="0.3"/>
    <row r="589" s="88" customFormat="1" ht="15.75" customHeight="1" x14ac:dyDescent="0.3"/>
    <row r="590" s="88" customFormat="1" ht="15.75" customHeight="1" x14ac:dyDescent="0.3"/>
    <row r="591" s="88" customFormat="1" ht="15.75" customHeight="1" x14ac:dyDescent="0.3"/>
    <row r="592" s="88" customFormat="1" ht="15.75" customHeight="1" x14ac:dyDescent="0.3"/>
    <row r="593" s="88" customFormat="1" ht="15.75" customHeight="1" x14ac:dyDescent="0.3"/>
    <row r="594" s="88" customFormat="1" ht="15.75" customHeight="1" x14ac:dyDescent="0.3"/>
    <row r="595" s="88" customFormat="1" ht="15.75" customHeight="1" x14ac:dyDescent="0.3"/>
    <row r="596" s="88" customFormat="1" ht="15.75" customHeight="1" x14ac:dyDescent="0.3"/>
    <row r="597" s="88" customFormat="1" ht="15.75" customHeight="1" x14ac:dyDescent="0.3"/>
    <row r="598" s="88" customFormat="1" ht="15.75" customHeight="1" x14ac:dyDescent="0.3"/>
    <row r="599" s="88" customFormat="1" ht="15.75" customHeight="1" x14ac:dyDescent="0.3"/>
    <row r="600" s="88" customFormat="1" ht="15.75" customHeight="1" x14ac:dyDescent="0.3"/>
    <row r="601" s="88" customFormat="1" ht="15.75" customHeight="1" x14ac:dyDescent="0.3"/>
    <row r="602" s="88" customFormat="1" ht="15.75" customHeight="1" x14ac:dyDescent="0.3"/>
    <row r="603" s="88" customFormat="1" ht="15.75" customHeight="1" x14ac:dyDescent="0.3"/>
    <row r="604" s="88" customFormat="1" ht="15.75" customHeight="1" x14ac:dyDescent="0.3"/>
    <row r="605" s="88" customFormat="1" ht="15.75" customHeight="1" x14ac:dyDescent="0.3"/>
    <row r="606" s="88" customFormat="1" ht="15.75" customHeight="1" x14ac:dyDescent="0.3"/>
    <row r="607" s="88" customFormat="1" ht="15.75" customHeight="1" x14ac:dyDescent="0.3"/>
    <row r="608" s="88" customFormat="1" ht="15.75" customHeight="1" x14ac:dyDescent="0.3"/>
    <row r="609" s="88" customFormat="1" ht="15.75" customHeight="1" x14ac:dyDescent="0.3"/>
    <row r="610" s="88" customFormat="1" ht="15.75" customHeight="1" x14ac:dyDescent="0.3"/>
    <row r="611" s="88" customFormat="1" ht="15.75" customHeight="1" x14ac:dyDescent="0.3"/>
    <row r="612" s="88" customFormat="1" ht="15.75" customHeight="1" x14ac:dyDescent="0.3"/>
    <row r="613" s="88" customFormat="1" ht="15.75" customHeight="1" x14ac:dyDescent="0.3"/>
    <row r="614" s="88" customFormat="1" ht="15.75" customHeight="1" x14ac:dyDescent="0.3"/>
    <row r="615" s="88" customFormat="1" ht="15.75" customHeight="1" x14ac:dyDescent="0.3"/>
    <row r="616" s="88" customFormat="1" ht="15.75" customHeight="1" x14ac:dyDescent="0.3"/>
    <row r="617" s="88" customFormat="1" ht="15.75" customHeight="1" x14ac:dyDescent="0.3"/>
    <row r="618" s="88" customFormat="1" ht="15.75" customHeight="1" x14ac:dyDescent="0.3"/>
    <row r="619" s="88" customFormat="1" ht="15.75" customHeight="1" x14ac:dyDescent="0.3"/>
    <row r="620" s="88" customFormat="1" ht="15.75" customHeight="1" x14ac:dyDescent="0.3"/>
    <row r="621" s="88" customFormat="1" ht="15.75" customHeight="1" x14ac:dyDescent="0.3"/>
    <row r="622" s="88" customFormat="1" ht="15.75" customHeight="1" x14ac:dyDescent="0.3"/>
    <row r="623" s="88" customFormat="1" ht="15.75" customHeight="1" x14ac:dyDescent="0.3"/>
    <row r="624" s="88" customFormat="1" ht="15.75" customHeight="1" x14ac:dyDescent="0.3"/>
    <row r="625" s="88" customFormat="1" ht="15.75" customHeight="1" x14ac:dyDescent="0.3"/>
    <row r="626" s="88" customFormat="1" ht="15.75" customHeight="1" x14ac:dyDescent="0.3"/>
    <row r="627" s="88" customFormat="1" ht="15.75" customHeight="1" x14ac:dyDescent="0.3"/>
    <row r="628" s="88" customFormat="1" ht="15.75" customHeight="1" x14ac:dyDescent="0.3"/>
    <row r="629" s="88" customFormat="1" ht="15.75" customHeight="1" x14ac:dyDescent="0.3"/>
    <row r="630" s="88" customFormat="1" ht="15.75" customHeight="1" x14ac:dyDescent="0.3"/>
    <row r="631" s="88" customFormat="1" ht="15.75" customHeight="1" x14ac:dyDescent="0.3"/>
    <row r="632" s="88" customFormat="1" ht="15.75" customHeight="1" x14ac:dyDescent="0.3"/>
    <row r="633" s="88" customFormat="1" ht="15.75" customHeight="1" x14ac:dyDescent="0.3"/>
    <row r="634" s="88" customFormat="1" ht="15.75" customHeight="1" x14ac:dyDescent="0.3"/>
    <row r="635" s="88" customFormat="1" ht="15.75" customHeight="1" x14ac:dyDescent="0.3"/>
    <row r="636" s="88" customFormat="1" ht="15.75" customHeight="1" x14ac:dyDescent="0.3"/>
    <row r="637" s="88" customFormat="1" ht="15.75" customHeight="1" x14ac:dyDescent="0.3"/>
    <row r="638" s="88" customFormat="1" ht="15.75" customHeight="1" x14ac:dyDescent="0.3"/>
    <row r="639" s="88" customFormat="1" ht="15.75" customHeight="1" x14ac:dyDescent="0.3"/>
    <row r="640" s="88" customFormat="1" ht="15.75" customHeight="1" x14ac:dyDescent="0.3"/>
    <row r="641" s="88" customFormat="1" ht="15.75" customHeight="1" x14ac:dyDescent="0.3"/>
    <row r="642" s="88" customFormat="1" ht="15.75" customHeight="1" x14ac:dyDescent="0.3"/>
    <row r="643" s="88" customFormat="1" ht="15.75" customHeight="1" x14ac:dyDescent="0.3"/>
    <row r="644" s="88" customFormat="1" ht="15.75" customHeight="1" x14ac:dyDescent="0.3"/>
    <row r="645" s="88" customFormat="1" ht="15.75" customHeight="1" x14ac:dyDescent="0.3"/>
    <row r="646" s="88" customFormat="1" ht="15.75" customHeight="1" x14ac:dyDescent="0.3"/>
    <row r="647" s="88" customFormat="1" ht="15.75" customHeight="1" x14ac:dyDescent="0.3"/>
    <row r="648" s="88" customFormat="1" ht="15.75" customHeight="1" x14ac:dyDescent="0.3"/>
    <row r="649" s="88" customFormat="1" ht="15.75" customHeight="1" x14ac:dyDescent="0.3"/>
    <row r="650" s="88" customFormat="1" ht="15.75" customHeight="1" x14ac:dyDescent="0.3"/>
    <row r="651" s="88" customFormat="1" ht="15.75" customHeight="1" x14ac:dyDescent="0.3"/>
    <row r="652" s="88" customFormat="1" ht="15.75" customHeight="1" x14ac:dyDescent="0.3"/>
    <row r="653" s="88" customFormat="1" ht="15.75" customHeight="1" x14ac:dyDescent="0.3"/>
    <row r="654" s="88" customFormat="1" ht="15.75" customHeight="1" x14ac:dyDescent="0.3"/>
    <row r="655" s="88" customFormat="1" ht="15.75" customHeight="1" x14ac:dyDescent="0.3"/>
    <row r="656" s="88" customFormat="1" ht="15.75" customHeight="1" x14ac:dyDescent="0.3"/>
    <row r="657" s="88" customFormat="1" ht="15.75" customHeight="1" x14ac:dyDescent="0.3"/>
    <row r="658" s="88" customFormat="1" ht="15.75" customHeight="1" x14ac:dyDescent="0.3"/>
    <row r="659" s="88" customFormat="1" ht="15.75" customHeight="1" x14ac:dyDescent="0.3"/>
    <row r="660" s="88" customFormat="1" ht="15.75" customHeight="1" x14ac:dyDescent="0.3"/>
    <row r="661" s="88" customFormat="1" ht="15.75" customHeight="1" x14ac:dyDescent="0.3"/>
    <row r="662" s="88" customFormat="1" ht="15.75" customHeight="1" x14ac:dyDescent="0.3"/>
    <row r="663" s="88" customFormat="1" ht="15.75" customHeight="1" x14ac:dyDescent="0.3"/>
    <row r="664" s="88" customFormat="1" ht="15.75" customHeight="1" x14ac:dyDescent="0.3"/>
    <row r="665" s="88" customFormat="1" ht="15.75" customHeight="1" x14ac:dyDescent="0.3"/>
    <row r="666" s="88" customFormat="1" ht="15.75" customHeight="1" x14ac:dyDescent="0.3"/>
    <row r="667" s="88" customFormat="1" ht="15.75" customHeight="1" x14ac:dyDescent="0.3"/>
    <row r="668" s="88" customFormat="1" ht="15.75" customHeight="1" x14ac:dyDescent="0.3"/>
    <row r="669" s="88" customFormat="1" ht="15.75" customHeight="1" x14ac:dyDescent="0.3"/>
    <row r="670" s="88" customFormat="1" ht="15.75" customHeight="1" x14ac:dyDescent="0.3"/>
    <row r="671" s="88" customFormat="1" ht="15.75" customHeight="1" x14ac:dyDescent="0.3"/>
    <row r="672" s="88" customFormat="1" ht="15.75" customHeight="1" x14ac:dyDescent="0.3"/>
    <row r="673" s="88" customFormat="1" ht="15.75" customHeight="1" x14ac:dyDescent="0.3"/>
    <row r="674" s="88" customFormat="1" ht="15.75" customHeight="1" x14ac:dyDescent="0.3"/>
    <row r="675" s="88" customFormat="1" ht="15.75" customHeight="1" x14ac:dyDescent="0.3"/>
    <row r="676" s="88" customFormat="1" ht="15.75" customHeight="1" x14ac:dyDescent="0.3"/>
    <row r="677" s="88" customFormat="1" ht="15.75" customHeight="1" x14ac:dyDescent="0.3"/>
    <row r="678" s="88" customFormat="1" ht="15.75" customHeight="1" x14ac:dyDescent="0.3"/>
    <row r="679" s="88" customFormat="1" ht="15.75" customHeight="1" x14ac:dyDescent="0.3"/>
    <row r="680" s="88" customFormat="1" ht="15.75" customHeight="1" x14ac:dyDescent="0.3"/>
    <row r="681" s="88" customFormat="1" ht="15.75" customHeight="1" x14ac:dyDescent="0.3"/>
    <row r="682" s="88" customFormat="1" ht="15.75" customHeight="1" x14ac:dyDescent="0.3"/>
    <row r="683" s="88" customFormat="1" ht="15.75" customHeight="1" x14ac:dyDescent="0.3"/>
    <row r="684" s="88" customFormat="1" ht="15.75" customHeight="1" x14ac:dyDescent="0.3"/>
    <row r="685" s="88" customFormat="1" ht="15.75" customHeight="1" x14ac:dyDescent="0.3"/>
    <row r="686" s="88" customFormat="1" ht="15.75" customHeight="1" x14ac:dyDescent="0.3"/>
    <row r="687" s="88" customFormat="1" ht="15.75" customHeight="1" x14ac:dyDescent="0.3"/>
    <row r="688" s="88" customFormat="1" ht="15.75" customHeight="1" x14ac:dyDescent="0.3"/>
    <row r="689" s="88" customFormat="1" ht="15.75" customHeight="1" x14ac:dyDescent="0.3"/>
    <row r="690" s="88" customFormat="1" ht="15.75" customHeight="1" x14ac:dyDescent="0.3"/>
    <row r="691" s="88" customFormat="1" ht="15.75" customHeight="1" x14ac:dyDescent="0.3"/>
    <row r="692" s="88" customFormat="1" ht="15.75" customHeight="1" x14ac:dyDescent="0.3"/>
    <row r="693" s="88" customFormat="1" ht="15.75" customHeight="1" x14ac:dyDescent="0.3"/>
    <row r="694" s="88" customFormat="1" ht="15.75" customHeight="1" x14ac:dyDescent="0.3"/>
    <row r="695" s="88" customFormat="1" ht="15.75" customHeight="1" x14ac:dyDescent="0.3"/>
    <row r="696" s="88" customFormat="1" ht="15.75" customHeight="1" x14ac:dyDescent="0.3"/>
    <row r="697" s="88" customFormat="1" ht="15.75" customHeight="1" x14ac:dyDescent="0.3"/>
    <row r="698" s="88" customFormat="1" ht="15.75" customHeight="1" x14ac:dyDescent="0.3"/>
    <row r="699" s="88" customFormat="1" ht="15.75" customHeight="1" x14ac:dyDescent="0.3"/>
    <row r="700" s="88" customFormat="1" ht="15.75" customHeight="1" x14ac:dyDescent="0.3"/>
    <row r="701" s="88" customFormat="1" ht="15.75" customHeight="1" x14ac:dyDescent="0.3"/>
    <row r="702" s="88" customFormat="1" ht="15.75" customHeight="1" x14ac:dyDescent="0.3"/>
    <row r="703" s="88" customFormat="1" ht="15.75" customHeight="1" x14ac:dyDescent="0.3"/>
    <row r="704" s="88" customFormat="1" ht="15.75" customHeight="1" x14ac:dyDescent="0.3"/>
    <row r="705" s="88" customFormat="1" ht="15.75" customHeight="1" x14ac:dyDescent="0.3"/>
    <row r="706" s="88" customFormat="1" ht="15.75" customHeight="1" x14ac:dyDescent="0.3"/>
    <row r="707" s="88" customFormat="1" ht="15.75" customHeight="1" x14ac:dyDescent="0.3"/>
    <row r="708" s="88" customFormat="1" ht="15.75" customHeight="1" x14ac:dyDescent="0.3"/>
    <row r="709" s="88" customFormat="1" ht="15.75" customHeight="1" x14ac:dyDescent="0.3"/>
    <row r="710" s="88" customFormat="1" ht="15.75" customHeight="1" x14ac:dyDescent="0.3"/>
    <row r="711" s="88" customFormat="1" ht="15.75" customHeight="1" x14ac:dyDescent="0.3"/>
    <row r="712" s="88" customFormat="1" ht="15.75" customHeight="1" x14ac:dyDescent="0.3"/>
    <row r="713" s="88" customFormat="1" ht="15.75" customHeight="1" x14ac:dyDescent="0.3"/>
    <row r="714" s="88" customFormat="1" ht="15.75" customHeight="1" x14ac:dyDescent="0.3"/>
    <row r="715" s="88" customFormat="1" ht="15.75" customHeight="1" x14ac:dyDescent="0.3"/>
    <row r="716" s="88" customFormat="1" ht="15.75" customHeight="1" x14ac:dyDescent="0.3"/>
    <row r="717" s="88" customFormat="1" ht="15.75" customHeight="1" x14ac:dyDescent="0.3"/>
    <row r="718" s="88" customFormat="1" ht="15.75" customHeight="1" x14ac:dyDescent="0.3"/>
    <row r="719" s="88" customFormat="1" ht="15.75" customHeight="1" x14ac:dyDescent="0.3"/>
    <row r="720" s="88" customFormat="1" ht="15.75" customHeight="1" x14ac:dyDescent="0.3"/>
    <row r="721" s="88" customFormat="1" ht="15.75" customHeight="1" x14ac:dyDescent="0.3"/>
    <row r="722" s="88" customFormat="1" ht="15.75" customHeight="1" x14ac:dyDescent="0.3"/>
    <row r="723" s="88" customFormat="1" ht="15.75" customHeight="1" x14ac:dyDescent="0.3"/>
    <row r="724" s="88" customFormat="1" ht="15.75" customHeight="1" x14ac:dyDescent="0.3"/>
    <row r="725" s="88" customFormat="1" ht="15.75" customHeight="1" x14ac:dyDescent="0.3"/>
    <row r="726" s="88" customFormat="1" ht="15.75" customHeight="1" x14ac:dyDescent="0.3"/>
    <row r="727" s="88" customFormat="1" ht="15.75" customHeight="1" x14ac:dyDescent="0.3"/>
    <row r="728" s="88" customFormat="1" ht="15.75" customHeight="1" x14ac:dyDescent="0.3"/>
    <row r="729" s="88" customFormat="1" ht="15.75" customHeight="1" x14ac:dyDescent="0.3"/>
    <row r="730" s="88" customFormat="1" ht="15.75" customHeight="1" x14ac:dyDescent="0.3"/>
    <row r="731" s="88" customFormat="1" ht="15.75" customHeight="1" x14ac:dyDescent="0.3"/>
    <row r="732" s="88" customFormat="1" ht="15.75" customHeight="1" x14ac:dyDescent="0.3"/>
    <row r="733" s="88" customFormat="1" ht="15.75" customHeight="1" x14ac:dyDescent="0.3"/>
    <row r="734" s="88" customFormat="1" ht="15.75" customHeight="1" x14ac:dyDescent="0.3"/>
    <row r="735" s="88" customFormat="1" ht="15.75" customHeight="1" x14ac:dyDescent="0.3"/>
    <row r="736" s="88" customFormat="1" ht="15.75" customHeight="1" x14ac:dyDescent="0.3"/>
    <row r="737" s="88" customFormat="1" ht="15.75" customHeight="1" x14ac:dyDescent="0.3"/>
    <row r="738" s="88" customFormat="1" ht="15.75" customHeight="1" x14ac:dyDescent="0.3"/>
    <row r="739" s="88" customFormat="1" ht="15.75" customHeight="1" x14ac:dyDescent="0.3"/>
    <row r="740" s="88" customFormat="1" ht="15.75" customHeight="1" x14ac:dyDescent="0.3"/>
    <row r="741" s="88" customFormat="1" ht="15.75" customHeight="1" x14ac:dyDescent="0.3"/>
    <row r="742" s="88" customFormat="1" ht="15.75" customHeight="1" x14ac:dyDescent="0.3"/>
    <row r="743" s="88" customFormat="1" ht="15.75" customHeight="1" x14ac:dyDescent="0.3"/>
    <row r="744" s="88" customFormat="1" ht="15.75" customHeight="1" x14ac:dyDescent="0.3"/>
    <row r="745" s="88" customFormat="1" ht="15.75" customHeight="1" x14ac:dyDescent="0.3"/>
    <row r="746" s="88" customFormat="1" ht="15.75" customHeight="1" x14ac:dyDescent="0.3"/>
    <row r="747" s="88" customFormat="1" ht="15.75" customHeight="1" x14ac:dyDescent="0.3"/>
    <row r="748" s="88" customFormat="1" ht="15.75" customHeight="1" x14ac:dyDescent="0.3"/>
    <row r="749" s="88" customFormat="1" ht="15.75" customHeight="1" x14ac:dyDescent="0.3"/>
    <row r="750" s="88" customFormat="1" ht="15.75" customHeight="1" x14ac:dyDescent="0.3"/>
    <row r="751" s="88" customFormat="1" ht="15.75" customHeight="1" x14ac:dyDescent="0.3"/>
    <row r="752" s="88" customFormat="1" ht="15.75" customHeight="1" x14ac:dyDescent="0.3"/>
    <row r="753" s="88" customFormat="1" ht="15.75" customHeight="1" x14ac:dyDescent="0.3"/>
    <row r="754" s="88" customFormat="1" ht="15.75" customHeight="1" x14ac:dyDescent="0.3"/>
    <row r="755" s="88" customFormat="1" ht="15.75" customHeight="1" x14ac:dyDescent="0.3"/>
    <row r="756" s="88" customFormat="1" ht="15.75" customHeight="1" x14ac:dyDescent="0.3"/>
    <row r="757" s="88" customFormat="1" ht="15.75" customHeight="1" x14ac:dyDescent="0.3"/>
    <row r="758" s="88" customFormat="1" ht="15.75" customHeight="1" x14ac:dyDescent="0.3"/>
    <row r="759" s="88" customFormat="1" ht="15.75" customHeight="1" x14ac:dyDescent="0.3"/>
    <row r="760" s="88" customFormat="1" ht="15.75" customHeight="1" x14ac:dyDescent="0.3"/>
    <row r="761" s="88" customFormat="1" ht="15.75" customHeight="1" x14ac:dyDescent="0.3"/>
    <row r="762" s="88" customFormat="1" ht="15.75" customHeight="1" x14ac:dyDescent="0.3"/>
    <row r="763" s="88" customFormat="1" ht="15.75" customHeight="1" x14ac:dyDescent="0.3"/>
    <row r="764" s="88" customFormat="1" ht="15.75" customHeight="1" x14ac:dyDescent="0.3"/>
    <row r="765" s="88" customFormat="1" ht="15.75" customHeight="1" x14ac:dyDescent="0.3"/>
    <row r="766" s="88" customFormat="1" ht="15.75" customHeight="1" x14ac:dyDescent="0.3"/>
    <row r="767" s="88" customFormat="1" ht="15.75" customHeight="1" x14ac:dyDescent="0.3"/>
    <row r="768" s="88" customFormat="1" ht="15.75" customHeight="1" x14ac:dyDescent="0.3"/>
    <row r="769" s="88" customFormat="1" ht="15.75" customHeight="1" x14ac:dyDescent="0.3"/>
    <row r="770" s="88" customFormat="1" ht="15.75" customHeight="1" x14ac:dyDescent="0.3"/>
    <row r="771" s="88" customFormat="1" ht="15.75" customHeight="1" x14ac:dyDescent="0.3"/>
    <row r="772" s="88" customFormat="1" ht="15.75" customHeight="1" x14ac:dyDescent="0.3"/>
    <row r="773" s="88" customFormat="1" ht="15.75" customHeight="1" x14ac:dyDescent="0.3"/>
    <row r="774" s="88" customFormat="1" ht="15.75" customHeight="1" x14ac:dyDescent="0.3"/>
    <row r="775" s="88" customFormat="1" ht="15.75" customHeight="1" x14ac:dyDescent="0.3"/>
    <row r="776" s="88" customFormat="1" ht="15.75" customHeight="1" x14ac:dyDescent="0.3"/>
    <row r="777" s="88" customFormat="1" ht="15.75" customHeight="1" x14ac:dyDescent="0.3"/>
    <row r="778" s="88" customFormat="1" ht="15.75" customHeight="1" x14ac:dyDescent="0.3"/>
    <row r="779" s="88" customFormat="1" ht="15.75" customHeight="1" x14ac:dyDescent="0.3"/>
    <row r="780" s="88" customFormat="1" ht="15.75" customHeight="1" x14ac:dyDescent="0.3"/>
    <row r="781" s="88" customFormat="1" ht="15.75" customHeight="1" x14ac:dyDescent="0.3"/>
    <row r="782" s="88" customFormat="1" ht="15.75" customHeight="1" x14ac:dyDescent="0.3"/>
    <row r="783" s="88" customFormat="1" ht="15.75" customHeight="1" x14ac:dyDescent="0.3"/>
    <row r="784" s="88" customFormat="1" ht="15.75" customHeight="1" x14ac:dyDescent="0.3"/>
    <row r="785" s="88" customFormat="1" ht="15.75" customHeight="1" x14ac:dyDescent="0.3"/>
    <row r="786" s="88" customFormat="1" ht="15.75" customHeight="1" x14ac:dyDescent="0.3"/>
    <row r="787" s="88" customFormat="1" ht="15.75" customHeight="1" x14ac:dyDescent="0.3"/>
    <row r="788" s="88" customFormat="1" ht="15.75" customHeight="1" x14ac:dyDescent="0.3"/>
    <row r="789" s="88" customFormat="1" ht="15.75" customHeight="1" x14ac:dyDescent="0.3"/>
    <row r="790" s="88" customFormat="1" ht="15.75" customHeight="1" x14ac:dyDescent="0.3"/>
    <row r="791" s="88" customFormat="1" ht="15.75" customHeight="1" x14ac:dyDescent="0.3"/>
    <row r="792" s="88" customFormat="1" ht="15.75" customHeight="1" x14ac:dyDescent="0.3"/>
    <row r="793" s="88" customFormat="1" ht="15.75" customHeight="1" x14ac:dyDescent="0.3"/>
    <row r="794" s="88" customFormat="1" ht="15.75" customHeight="1" x14ac:dyDescent="0.3"/>
    <row r="795" s="88" customFormat="1" ht="15.75" customHeight="1" x14ac:dyDescent="0.3"/>
    <row r="796" s="88" customFormat="1" ht="15.75" customHeight="1" x14ac:dyDescent="0.3"/>
    <row r="797" s="88" customFormat="1" ht="15.75" customHeight="1" x14ac:dyDescent="0.3"/>
    <row r="798" s="88" customFormat="1" ht="15.75" customHeight="1" x14ac:dyDescent="0.3"/>
    <row r="799" s="88" customFormat="1" ht="15.75" customHeight="1" x14ac:dyDescent="0.3"/>
    <row r="800" s="88" customFormat="1" ht="15.75" customHeight="1" x14ac:dyDescent="0.3"/>
    <row r="801" s="88" customFormat="1" ht="15.75" customHeight="1" x14ac:dyDescent="0.3"/>
    <row r="802" s="88" customFormat="1" ht="15.75" customHeight="1" x14ac:dyDescent="0.3"/>
    <row r="803" s="88" customFormat="1" ht="15.75" customHeight="1" x14ac:dyDescent="0.3"/>
    <row r="804" s="88" customFormat="1" ht="15.75" customHeight="1" x14ac:dyDescent="0.3"/>
    <row r="805" s="88" customFormat="1" ht="15.75" customHeight="1" x14ac:dyDescent="0.3"/>
    <row r="806" s="88" customFormat="1" ht="15.75" customHeight="1" x14ac:dyDescent="0.3"/>
    <row r="807" s="88" customFormat="1" ht="15.75" customHeight="1" x14ac:dyDescent="0.3"/>
    <row r="808" s="88" customFormat="1" ht="15.75" customHeight="1" x14ac:dyDescent="0.3"/>
    <row r="809" s="88" customFormat="1" ht="15.75" customHeight="1" x14ac:dyDescent="0.3"/>
    <row r="810" s="88" customFormat="1" ht="15.75" customHeight="1" x14ac:dyDescent="0.3"/>
    <row r="811" s="88" customFormat="1" ht="15.75" customHeight="1" x14ac:dyDescent="0.3"/>
    <row r="812" s="88" customFormat="1" ht="15.75" customHeight="1" x14ac:dyDescent="0.3"/>
    <row r="813" s="88" customFormat="1" ht="15.75" customHeight="1" x14ac:dyDescent="0.3"/>
    <row r="814" s="88" customFormat="1" ht="15.75" customHeight="1" x14ac:dyDescent="0.3"/>
    <row r="815" s="88" customFormat="1" ht="15.75" customHeight="1" x14ac:dyDescent="0.3"/>
    <row r="816" s="88" customFormat="1" ht="15.75" customHeight="1" x14ac:dyDescent="0.3"/>
    <row r="817" s="88" customFormat="1" ht="15.75" customHeight="1" x14ac:dyDescent="0.3"/>
    <row r="818" s="88" customFormat="1" ht="15.75" customHeight="1" x14ac:dyDescent="0.3"/>
    <row r="819" s="88" customFormat="1" ht="15.75" customHeight="1" x14ac:dyDescent="0.3"/>
    <row r="820" s="88" customFormat="1" ht="15.75" customHeight="1" x14ac:dyDescent="0.3"/>
    <row r="821" s="88" customFormat="1" ht="15.75" customHeight="1" x14ac:dyDescent="0.3"/>
    <row r="822" s="88" customFormat="1" ht="15.75" customHeight="1" x14ac:dyDescent="0.3"/>
    <row r="823" s="88" customFormat="1" ht="15.75" customHeight="1" x14ac:dyDescent="0.3"/>
    <row r="824" s="88" customFormat="1" ht="15.75" customHeight="1" x14ac:dyDescent="0.3"/>
    <row r="825" s="88" customFormat="1" ht="15.75" customHeight="1" x14ac:dyDescent="0.3"/>
    <row r="826" s="88" customFormat="1" ht="15.75" customHeight="1" x14ac:dyDescent="0.3"/>
    <row r="827" s="88" customFormat="1" ht="15.75" customHeight="1" x14ac:dyDescent="0.3"/>
    <row r="828" s="88" customFormat="1" ht="15.75" customHeight="1" x14ac:dyDescent="0.3"/>
    <row r="829" s="88" customFormat="1" ht="15.75" customHeight="1" x14ac:dyDescent="0.3"/>
    <row r="830" s="88" customFormat="1" ht="15.75" customHeight="1" x14ac:dyDescent="0.3"/>
    <row r="831" s="88" customFormat="1" ht="15.75" customHeight="1" x14ac:dyDescent="0.3"/>
    <row r="832" s="88" customFormat="1" ht="15.75" customHeight="1" x14ac:dyDescent="0.3"/>
    <row r="833" s="88" customFormat="1" ht="15.75" customHeight="1" x14ac:dyDescent="0.3"/>
    <row r="834" s="88" customFormat="1" ht="15.75" customHeight="1" x14ac:dyDescent="0.3"/>
    <row r="835" s="88" customFormat="1" ht="15.75" customHeight="1" x14ac:dyDescent="0.3"/>
    <row r="836" s="88" customFormat="1" ht="15.75" customHeight="1" x14ac:dyDescent="0.3"/>
    <row r="837" s="88" customFormat="1" ht="15.75" customHeight="1" x14ac:dyDescent="0.3"/>
    <row r="838" s="88" customFormat="1" ht="15.75" customHeight="1" x14ac:dyDescent="0.3"/>
    <row r="839" s="88" customFormat="1" ht="15.75" customHeight="1" x14ac:dyDescent="0.3"/>
    <row r="840" s="88" customFormat="1" ht="15.75" customHeight="1" x14ac:dyDescent="0.3"/>
    <row r="841" s="88" customFormat="1" ht="15.75" customHeight="1" x14ac:dyDescent="0.3"/>
    <row r="842" s="88" customFormat="1" ht="15.75" customHeight="1" x14ac:dyDescent="0.3"/>
    <row r="843" s="88" customFormat="1" ht="15.75" customHeight="1" x14ac:dyDescent="0.3"/>
    <row r="844" s="88" customFormat="1" ht="15.75" customHeight="1" x14ac:dyDescent="0.3"/>
    <row r="845" s="88" customFormat="1" ht="15.75" customHeight="1" x14ac:dyDescent="0.3"/>
    <row r="846" s="88" customFormat="1" ht="15.75" customHeight="1" x14ac:dyDescent="0.3"/>
    <row r="847" s="88" customFormat="1" ht="15.75" customHeight="1" x14ac:dyDescent="0.3"/>
    <row r="848" s="88" customFormat="1" ht="15.75" customHeight="1" x14ac:dyDescent="0.3"/>
    <row r="849" s="88" customFormat="1" ht="15.75" customHeight="1" x14ac:dyDescent="0.3"/>
    <row r="850" s="88" customFormat="1" ht="15.75" customHeight="1" x14ac:dyDescent="0.3"/>
    <row r="851" s="88" customFormat="1" ht="15.75" customHeight="1" x14ac:dyDescent="0.3"/>
    <row r="852" s="88" customFormat="1" ht="15.75" customHeight="1" x14ac:dyDescent="0.3"/>
    <row r="853" s="88" customFormat="1" ht="15.75" customHeight="1" x14ac:dyDescent="0.3"/>
    <row r="854" s="88" customFormat="1" ht="15.75" customHeight="1" x14ac:dyDescent="0.3"/>
    <row r="855" s="88" customFormat="1" ht="15.75" customHeight="1" x14ac:dyDescent="0.3"/>
    <row r="856" s="88" customFormat="1" ht="15.75" customHeight="1" x14ac:dyDescent="0.3"/>
    <row r="857" s="88" customFormat="1" ht="15.75" customHeight="1" x14ac:dyDescent="0.3"/>
    <row r="858" s="88" customFormat="1" ht="15.75" customHeight="1" x14ac:dyDescent="0.3"/>
    <row r="859" s="88" customFormat="1" ht="15.75" customHeight="1" x14ac:dyDescent="0.3"/>
    <row r="860" s="88" customFormat="1" ht="15.75" customHeight="1" x14ac:dyDescent="0.3"/>
    <row r="861" s="88" customFormat="1" ht="15.75" customHeight="1" x14ac:dyDescent="0.3"/>
    <row r="862" s="88" customFormat="1" ht="15.75" customHeight="1" x14ac:dyDescent="0.3"/>
    <row r="863" s="88" customFormat="1" ht="15.75" customHeight="1" x14ac:dyDescent="0.3"/>
    <row r="864" s="88" customFormat="1" ht="15.75" customHeight="1" x14ac:dyDescent="0.3"/>
    <row r="865" s="88" customFormat="1" ht="15.75" customHeight="1" x14ac:dyDescent="0.3"/>
    <row r="866" s="88" customFormat="1" ht="15.75" customHeight="1" x14ac:dyDescent="0.3"/>
    <row r="867" s="88" customFormat="1" ht="15.75" customHeight="1" x14ac:dyDescent="0.3"/>
    <row r="868" s="88" customFormat="1" ht="15.75" customHeight="1" x14ac:dyDescent="0.3"/>
    <row r="869" s="88" customFormat="1" ht="15.75" customHeight="1" x14ac:dyDescent="0.3"/>
    <row r="870" s="88" customFormat="1" ht="15.75" customHeight="1" x14ac:dyDescent="0.3"/>
    <row r="871" s="88" customFormat="1" ht="15.75" customHeight="1" x14ac:dyDescent="0.3"/>
    <row r="872" s="88" customFormat="1" ht="15.75" customHeight="1" x14ac:dyDescent="0.3"/>
    <row r="873" s="88" customFormat="1" ht="15.75" customHeight="1" x14ac:dyDescent="0.3"/>
    <row r="874" s="88" customFormat="1" ht="15.75" customHeight="1" x14ac:dyDescent="0.3"/>
    <row r="875" s="88" customFormat="1" ht="15.75" customHeight="1" x14ac:dyDescent="0.3"/>
    <row r="876" s="88" customFormat="1" ht="15.75" customHeight="1" x14ac:dyDescent="0.3"/>
    <row r="877" s="88" customFormat="1" ht="15.75" customHeight="1" x14ac:dyDescent="0.3"/>
    <row r="878" s="88" customFormat="1" ht="15.75" customHeight="1" x14ac:dyDescent="0.3"/>
    <row r="879" s="88" customFormat="1" ht="15.75" customHeight="1" x14ac:dyDescent="0.3"/>
    <row r="880" s="88" customFormat="1" ht="15.75" customHeight="1" x14ac:dyDescent="0.3"/>
    <row r="881" s="88" customFormat="1" ht="15.75" customHeight="1" x14ac:dyDescent="0.3"/>
    <row r="882" s="88" customFormat="1" ht="15.75" customHeight="1" x14ac:dyDescent="0.3"/>
    <row r="883" s="88" customFormat="1" ht="15.75" customHeight="1" x14ac:dyDescent="0.3"/>
    <row r="884" s="88" customFormat="1" ht="15.75" customHeight="1" x14ac:dyDescent="0.3"/>
    <row r="885" s="88" customFormat="1" ht="15.75" customHeight="1" x14ac:dyDescent="0.3"/>
    <row r="886" s="88" customFormat="1" ht="15.75" customHeight="1" x14ac:dyDescent="0.3"/>
    <row r="887" s="88" customFormat="1" ht="15.75" customHeight="1" x14ac:dyDescent="0.3"/>
    <row r="888" s="88" customFormat="1" ht="15.75" customHeight="1" x14ac:dyDescent="0.3"/>
    <row r="889" s="88" customFormat="1" ht="15.75" customHeight="1" x14ac:dyDescent="0.3"/>
    <row r="890" s="88" customFormat="1" ht="15.75" customHeight="1" x14ac:dyDescent="0.3"/>
    <row r="891" s="88" customFormat="1" ht="15.75" customHeight="1" x14ac:dyDescent="0.3"/>
    <row r="892" s="88" customFormat="1" ht="15.75" customHeight="1" x14ac:dyDescent="0.3"/>
    <row r="893" s="88" customFormat="1" ht="15.75" customHeight="1" x14ac:dyDescent="0.3"/>
    <row r="894" s="88" customFormat="1" ht="15.75" customHeight="1" x14ac:dyDescent="0.3"/>
    <row r="895" s="88" customFormat="1" ht="15.75" customHeight="1" x14ac:dyDescent="0.3"/>
    <row r="896" s="88" customFormat="1" ht="15.75" customHeight="1" x14ac:dyDescent="0.3"/>
    <row r="897" s="88" customFormat="1" ht="15.75" customHeight="1" x14ac:dyDescent="0.3"/>
    <row r="898" s="88" customFormat="1" ht="15.75" customHeight="1" x14ac:dyDescent="0.3"/>
    <row r="899" s="88" customFormat="1" ht="15.75" customHeight="1" x14ac:dyDescent="0.3"/>
    <row r="900" s="88" customFormat="1" ht="15.75" customHeight="1" x14ac:dyDescent="0.3"/>
    <row r="901" s="88" customFormat="1" ht="15.75" customHeight="1" x14ac:dyDescent="0.3"/>
    <row r="902" s="88" customFormat="1" ht="15.75" customHeight="1" x14ac:dyDescent="0.3"/>
    <row r="903" s="88" customFormat="1" ht="15.75" customHeight="1" x14ac:dyDescent="0.3"/>
    <row r="904" s="88" customFormat="1" ht="15.75" customHeight="1" x14ac:dyDescent="0.3"/>
    <row r="905" s="88" customFormat="1" ht="15.75" customHeight="1" x14ac:dyDescent="0.3"/>
    <row r="906" s="88" customFormat="1" ht="15.75" customHeight="1" x14ac:dyDescent="0.3"/>
    <row r="907" s="88" customFormat="1" ht="15.75" customHeight="1" x14ac:dyDescent="0.3"/>
    <row r="908" s="88" customFormat="1" ht="15.75" customHeight="1" x14ac:dyDescent="0.3"/>
    <row r="909" s="88" customFormat="1" ht="15.75" customHeight="1" x14ac:dyDescent="0.3"/>
    <row r="910" s="88" customFormat="1" ht="15.75" customHeight="1" x14ac:dyDescent="0.3"/>
    <row r="911" s="88" customFormat="1" ht="15.75" customHeight="1" x14ac:dyDescent="0.3"/>
    <row r="912" s="88" customFormat="1" ht="15.75" customHeight="1" x14ac:dyDescent="0.3"/>
    <row r="913" s="88" customFormat="1" ht="15.75" customHeight="1" x14ac:dyDescent="0.3"/>
    <row r="914" s="88" customFormat="1" ht="15.75" customHeight="1" x14ac:dyDescent="0.3"/>
    <row r="915" s="88" customFormat="1" ht="15.75" customHeight="1" x14ac:dyDescent="0.3"/>
    <row r="916" s="88" customFormat="1" ht="15.75" customHeight="1" x14ac:dyDescent="0.3"/>
    <row r="917" s="88" customFormat="1" ht="15.75" customHeight="1" x14ac:dyDescent="0.3"/>
    <row r="918" s="88" customFormat="1" ht="15.75" customHeight="1" x14ac:dyDescent="0.3"/>
    <row r="919" s="88" customFormat="1" ht="15.75" customHeight="1" x14ac:dyDescent="0.3"/>
    <row r="920" s="88" customFormat="1" ht="15.75" customHeight="1" x14ac:dyDescent="0.3"/>
    <row r="921" s="88" customFormat="1" ht="15.75" customHeight="1" x14ac:dyDescent="0.3"/>
    <row r="922" s="88" customFormat="1" ht="15.75" customHeight="1" x14ac:dyDescent="0.3"/>
    <row r="923" s="88" customFormat="1" ht="15.75" customHeight="1" x14ac:dyDescent="0.3"/>
    <row r="924" s="88" customFormat="1" ht="15.75" customHeight="1" x14ac:dyDescent="0.3"/>
    <row r="925" s="88" customFormat="1" ht="15.75" customHeight="1" x14ac:dyDescent="0.3"/>
    <row r="926" s="88" customFormat="1" ht="15.75" customHeight="1" x14ac:dyDescent="0.3"/>
    <row r="927" s="88" customFormat="1" ht="15.75" customHeight="1" x14ac:dyDescent="0.3"/>
    <row r="928" s="88" customFormat="1" ht="15.75" customHeight="1" x14ac:dyDescent="0.3"/>
    <row r="929" s="88" customFormat="1" ht="15.75" customHeight="1" x14ac:dyDescent="0.3"/>
    <row r="930" s="88" customFormat="1" ht="15.75" customHeight="1" x14ac:dyDescent="0.3"/>
    <row r="931" s="88" customFormat="1" ht="15.75" customHeight="1" x14ac:dyDescent="0.3"/>
    <row r="932" s="88" customFormat="1" ht="15.75" customHeight="1" x14ac:dyDescent="0.3"/>
    <row r="933" s="88" customFormat="1" ht="15.75" customHeight="1" x14ac:dyDescent="0.3"/>
    <row r="934" s="88" customFormat="1" ht="15.75" customHeight="1" x14ac:dyDescent="0.3"/>
    <row r="935" s="88" customFormat="1" ht="15.75" customHeight="1" x14ac:dyDescent="0.3"/>
    <row r="936" s="88" customFormat="1" ht="15.75" customHeight="1" x14ac:dyDescent="0.3"/>
    <row r="937" s="88" customFormat="1" ht="15.75" customHeight="1" x14ac:dyDescent="0.3"/>
    <row r="938" s="88" customFormat="1" ht="15.75" customHeight="1" x14ac:dyDescent="0.3"/>
    <row r="939" s="88" customFormat="1" ht="15.75" customHeight="1" x14ac:dyDescent="0.3"/>
    <row r="940" s="88" customFormat="1" ht="15.75" customHeight="1" x14ac:dyDescent="0.3"/>
    <row r="941" s="88" customFormat="1" ht="15.75" customHeight="1" x14ac:dyDescent="0.3"/>
    <row r="942" s="88" customFormat="1" ht="15.75" customHeight="1" x14ac:dyDescent="0.3"/>
    <row r="943" s="88" customFormat="1" ht="15.75" customHeight="1" x14ac:dyDescent="0.3"/>
    <row r="944" s="88" customFormat="1" ht="15.75" customHeight="1" x14ac:dyDescent="0.3"/>
    <row r="945" s="88" customFormat="1" ht="15.75" customHeight="1" x14ac:dyDescent="0.3"/>
    <row r="946" s="88" customFormat="1" ht="15.75" customHeight="1" x14ac:dyDescent="0.3"/>
    <row r="947" s="88" customFormat="1" ht="15.75" customHeight="1" x14ac:dyDescent="0.3"/>
    <row r="948" s="88" customFormat="1" ht="15.75" customHeight="1" x14ac:dyDescent="0.3"/>
    <row r="949" s="88" customFormat="1" ht="15.75" customHeight="1" x14ac:dyDescent="0.3"/>
    <row r="950" s="88" customFormat="1" ht="15.75" customHeight="1" x14ac:dyDescent="0.3"/>
    <row r="951" s="88" customFormat="1" ht="15.75" customHeight="1" x14ac:dyDescent="0.3"/>
    <row r="952" s="88" customFormat="1" ht="15.75" customHeight="1" x14ac:dyDescent="0.3"/>
    <row r="953" s="88" customFormat="1" ht="15.75" customHeight="1" x14ac:dyDescent="0.3"/>
    <row r="954" s="88" customFormat="1" ht="15.75" customHeight="1" x14ac:dyDescent="0.3"/>
    <row r="955" s="88" customFormat="1" ht="15.75" customHeight="1" x14ac:dyDescent="0.3"/>
    <row r="956" s="88" customFormat="1" ht="15.75" customHeight="1" x14ac:dyDescent="0.3"/>
    <row r="957" s="88" customFormat="1" ht="15.75" customHeight="1" x14ac:dyDescent="0.3"/>
    <row r="958" s="88" customFormat="1" ht="15.75" customHeight="1" x14ac:dyDescent="0.3"/>
    <row r="959" s="88" customFormat="1" ht="15.75" customHeight="1" x14ac:dyDescent="0.3"/>
    <row r="960" s="88" customFormat="1" ht="15.75" customHeight="1" x14ac:dyDescent="0.3"/>
    <row r="961" s="88" customFormat="1" ht="15.75" customHeight="1" x14ac:dyDescent="0.3"/>
    <row r="962" s="88" customFormat="1" ht="15.75" customHeight="1" x14ac:dyDescent="0.3"/>
    <row r="963" s="88" customFormat="1" ht="15.75" customHeight="1" x14ac:dyDescent="0.3"/>
    <row r="964" s="88" customFormat="1" ht="15.75" customHeight="1" x14ac:dyDescent="0.3"/>
    <row r="965" s="88" customFormat="1" ht="15.75" customHeight="1" x14ac:dyDescent="0.3"/>
    <row r="966" s="88" customFormat="1" ht="15.75" customHeight="1" x14ac:dyDescent="0.3"/>
    <row r="967" s="88" customFormat="1" ht="15.75" customHeight="1" x14ac:dyDescent="0.3"/>
    <row r="968" s="88" customFormat="1" ht="15.75" customHeight="1" x14ac:dyDescent="0.3"/>
    <row r="969" s="88" customFormat="1" ht="15.75" customHeight="1" x14ac:dyDescent="0.3"/>
    <row r="970" s="88" customFormat="1" ht="15.75" customHeight="1" x14ac:dyDescent="0.3"/>
    <row r="971" s="88" customFormat="1" ht="15.75" customHeight="1" x14ac:dyDescent="0.3"/>
    <row r="972" s="88" customFormat="1" ht="15.75" customHeight="1" x14ac:dyDescent="0.3"/>
    <row r="973" s="88" customFormat="1" ht="15.75" customHeight="1" x14ac:dyDescent="0.3"/>
    <row r="974" s="88" customFormat="1" ht="15.75" customHeight="1" x14ac:dyDescent="0.3"/>
    <row r="975" s="88" customFormat="1" ht="15.75" customHeight="1" x14ac:dyDescent="0.3"/>
    <row r="976" s="88" customFormat="1" ht="15.75" customHeight="1" x14ac:dyDescent="0.3"/>
    <row r="977" s="88" customFormat="1" ht="15.75" customHeight="1" x14ac:dyDescent="0.3"/>
    <row r="978" s="88" customFormat="1" ht="15.75" customHeight="1" x14ac:dyDescent="0.3"/>
    <row r="979" s="88" customFormat="1" ht="15.75" customHeight="1" x14ac:dyDescent="0.3"/>
    <row r="980" s="88" customFormat="1" ht="15.75" customHeight="1" x14ac:dyDescent="0.3"/>
    <row r="981" s="88" customFormat="1" ht="15.75" customHeight="1" x14ac:dyDescent="0.3"/>
    <row r="982" s="88" customFormat="1" ht="15.75" customHeight="1" x14ac:dyDescent="0.3"/>
    <row r="983" s="88" customFormat="1" ht="15.75" customHeight="1" x14ac:dyDescent="0.3"/>
    <row r="984" s="88" customFormat="1" ht="15.75" customHeight="1" x14ac:dyDescent="0.3"/>
    <row r="985" s="88" customFormat="1" ht="15.75" customHeight="1" x14ac:dyDescent="0.3"/>
    <row r="986" s="88" customFormat="1" ht="15.75" customHeight="1" x14ac:dyDescent="0.3"/>
    <row r="987" s="88" customFormat="1" ht="15.75" customHeight="1" x14ac:dyDescent="0.3"/>
    <row r="988" s="88" customFormat="1" ht="15.75" customHeight="1" x14ac:dyDescent="0.3"/>
    <row r="989" s="88" customFormat="1" ht="15.75" customHeight="1" x14ac:dyDescent="0.3"/>
    <row r="990" s="88" customFormat="1" ht="15.75" customHeight="1" x14ac:dyDescent="0.3"/>
    <row r="991" s="88" customFormat="1" ht="15.75" customHeight="1" x14ac:dyDescent="0.3"/>
    <row r="992" s="88" customFormat="1" ht="15.75" customHeight="1" x14ac:dyDescent="0.3"/>
    <row r="993" s="88" customFormat="1" ht="15.75" customHeight="1" x14ac:dyDescent="0.3"/>
    <row r="994" s="88" customFormat="1" ht="15.75" customHeight="1" x14ac:dyDescent="0.3"/>
    <row r="995" s="88" customFormat="1" ht="15.75" customHeight="1" x14ac:dyDescent="0.3"/>
    <row r="996" s="88" customFormat="1" ht="15.75" customHeight="1" x14ac:dyDescent="0.3"/>
    <row r="997" s="88" customFormat="1" ht="15.75" customHeight="1" x14ac:dyDescent="0.3"/>
    <row r="998" s="88" customFormat="1" ht="15.75" customHeight="1" x14ac:dyDescent="0.3"/>
    <row r="999" s="88" customFormat="1" ht="15.75" customHeight="1" x14ac:dyDescent="0.3"/>
    <row r="1000" s="88" customFormat="1" ht="15.75" customHeight="1" x14ac:dyDescent="0.3"/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1C86-F93B-471F-B1E1-C8E98F6CA433}">
  <dimension ref="A1:D1000"/>
  <sheetViews>
    <sheetView workbookViewId="0">
      <selection activeCell="B12" sqref="B12:D12"/>
    </sheetView>
  </sheetViews>
  <sheetFormatPr defaultColWidth="14.44140625" defaultRowHeight="14.4" x14ac:dyDescent="0.3"/>
  <cols>
    <col min="1" max="26" width="25.44140625" style="88" customWidth="1"/>
    <col min="27" max="16384" width="14.44140625" style="88"/>
  </cols>
  <sheetData>
    <row r="1" spans="1:4" x14ac:dyDescent="0.3">
      <c r="A1" s="75" t="s">
        <v>64</v>
      </c>
      <c r="B1" s="134" t="s">
        <v>141</v>
      </c>
      <c r="C1" s="131"/>
      <c r="D1" s="132"/>
    </row>
    <row r="2" spans="1:4" x14ac:dyDescent="0.3">
      <c r="A2" s="75" t="s">
        <v>61</v>
      </c>
      <c r="B2" s="94">
        <v>3</v>
      </c>
      <c r="C2" s="75" t="s">
        <v>65</v>
      </c>
      <c r="D2" s="95">
        <v>3</v>
      </c>
    </row>
    <row r="3" spans="1:4" x14ac:dyDescent="0.3">
      <c r="A3" s="75" t="s">
        <v>66</v>
      </c>
      <c r="B3" s="96"/>
      <c r="C3" s="75" t="s">
        <v>67</v>
      </c>
      <c r="D3" s="96"/>
    </row>
    <row r="4" spans="1:4" x14ac:dyDescent="0.3">
      <c r="A4" s="75" t="s">
        <v>68</v>
      </c>
      <c r="B4" s="96" t="s">
        <v>79</v>
      </c>
      <c r="C4" s="75" t="s">
        <v>69</v>
      </c>
      <c r="D4" s="96"/>
    </row>
    <row r="5" spans="1:4" x14ac:dyDescent="0.3">
      <c r="A5" s="75" t="s">
        <v>70</v>
      </c>
      <c r="B5" s="96" t="s">
        <v>76</v>
      </c>
      <c r="C5" s="75" t="s">
        <v>71</v>
      </c>
      <c r="D5" s="96" t="s">
        <v>72</v>
      </c>
    </row>
    <row r="6" spans="1:4" x14ac:dyDescent="0.3">
      <c r="A6" s="78" t="s">
        <v>73</v>
      </c>
      <c r="B6" s="78" t="s">
        <v>32</v>
      </c>
      <c r="C6" s="96" t="s">
        <v>74</v>
      </c>
      <c r="D6" s="96"/>
    </row>
    <row r="7" spans="1:4" x14ac:dyDescent="0.3">
      <c r="A7" s="78" t="s">
        <v>31</v>
      </c>
      <c r="B7" s="78" t="s">
        <v>72</v>
      </c>
      <c r="C7" s="96" t="s">
        <v>75</v>
      </c>
      <c r="D7" s="96"/>
    </row>
    <row r="8" spans="1:4" x14ac:dyDescent="0.3">
      <c r="A8" s="78" t="s">
        <v>76</v>
      </c>
      <c r="B8" s="78" t="s">
        <v>77</v>
      </c>
      <c r="C8" s="96" t="s">
        <v>78</v>
      </c>
      <c r="D8" s="96"/>
    </row>
    <row r="9" spans="1:4" x14ac:dyDescent="0.3">
      <c r="A9" s="78" t="s">
        <v>29</v>
      </c>
      <c r="B9" s="96"/>
      <c r="C9" s="96" t="s">
        <v>79</v>
      </c>
      <c r="D9" s="96"/>
    </row>
    <row r="10" spans="1:4" x14ac:dyDescent="0.3">
      <c r="A10" s="78" t="s">
        <v>27</v>
      </c>
      <c r="B10" s="96"/>
      <c r="C10" s="96" t="s">
        <v>80</v>
      </c>
      <c r="D10" s="96"/>
    </row>
    <row r="11" spans="1:4" x14ac:dyDescent="0.3">
      <c r="A11" s="75" t="s">
        <v>81</v>
      </c>
      <c r="B11" s="96"/>
      <c r="C11" s="75" t="s">
        <v>82</v>
      </c>
      <c r="D11" s="96" t="s">
        <v>134</v>
      </c>
    </row>
    <row r="12" spans="1:4" ht="368.4" customHeight="1" x14ac:dyDescent="0.3">
      <c r="A12" s="79" t="s">
        <v>83</v>
      </c>
      <c r="B12" s="133" t="s">
        <v>160</v>
      </c>
      <c r="C12" s="135"/>
      <c r="D12" s="136"/>
    </row>
    <row r="13" spans="1:4" ht="145.5" customHeight="1" x14ac:dyDescent="0.3">
      <c r="A13" s="75" t="s">
        <v>84</v>
      </c>
      <c r="B13" s="134"/>
      <c r="C13" s="137"/>
      <c r="D13" s="138"/>
    </row>
    <row r="21" s="88" customFormat="1" ht="15.75" customHeight="1" x14ac:dyDescent="0.3"/>
    <row r="22" s="88" customFormat="1" ht="15.75" customHeight="1" x14ac:dyDescent="0.3"/>
    <row r="23" s="88" customFormat="1" ht="15.75" customHeight="1" x14ac:dyDescent="0.3"/>
    <row r="24" s="88" customFormat="1" ht="15.75" customHeight="1" x14ac:dyDescent="0.3"/>
    <row r="25" s="88" customFormat="1" ht="15.75" customHeight="1" x14ac:dyDescent="0.3"/>
    <row r="26" s="88" customFormat="1" ht="15.75" customHeight="1" x14ac:dyDescent="0.3"/>
    <row r="27" s="88" customFormat="1" ht="15.75" customHeight="1" x14ac:dyDescent="0.3"/>
    <row r="28" s="88" customFormat="1" ht="15.75" customHeight="1" x14ac:dyDescent="0.3"/>
    <row r="29" s="88" customFormat="1" ht="15.75" customHeight="1" x14ac:dyDescent="0.3"/>
    <row r="30" s="88" customFormat="1" ht="15.75" customHeight="1" x14ac:dyDescent="0.3"/>
    <row r="31" s="88" customFormat="1" ht="15.75" customHeight="1" x14ac:dyDescent="0.3"/>
    <row r="32" s="88" customFormat="1" ht="15.75" customHeight="1" x14ac:dyDescent="0.3"/>
    <row r="33" s="88" customFormat="1" ht="15.75" customHeight="1" x14ac:dyDescent="0.3"/>
    <row r="34" s="88" customFormat="1" ht="15.75" customHeight="1" x14ac:dyDescent="0.3"/>
    <row r="35" s="88" customFormat="1" ht="15.75" customHeight="1" x14ac:dyDescent="0.3"/>
    <row r="36" s="88" customFormat="1" ht="15.75" customHeight="1" x14ac:dyDescent="0.3"/>
    <row r="37" s="88" customFormat="1" ht="15.75" customHeight="1" x14ac:dyDescent="0.3"/>
    <row r="38" s="88" customFormat="1" ht="15.75" customHeight="1" x14ac:dyDescent="0.3"/>
    <row r="39" s="88" customFormat="1" ht="15.75" customHeight="1" x14ac:dyDescent="0.3"/>
    <row r="40" s="88" customFormat="1" ht="15.75" customHeight="1" x14ac:dyDescent="0.3"/>
    <row r="41" s="88" customFormat="1" ht="15.75" customHeight="1" x14ac:dyDescent="0.3"/>
    <row r="42" s="88" customFormat="1" ht="15.75" customHeight="1" x14ac:dyDescent="0.3"/>
    <row r="43" s="88" customFormat="1" ht="15.75" customHeight="1" x14ac:dyDescent="0.3"/>
    <row r="44" s="88" customFormat="1" ht="15.75" customHeight="1" x14ac:dyDescent="0.3"/>
    <row r="45" s="88" customFormat="1" ht="15.75" customHeight="1" x14ac:dyDescent="0.3"/>
    <row r="46" s="88" customFormat="1" ht="15.75" customHeight="1" x14ac:dyDescent="0.3"/>
    <row r="47" s="88" customFormat="1" ht="15.75" customHeight="1" x14ac:dyDescent="0.3"/>
    <row r="48" s="88" customFormat="1" ht="15.75" customHeight="1" x14ac:dyDescent="0.3"/>
    <row r="49" s="88" customFormat="1" ht="15.75" customHeight="1" x14ac:dyDescent="0.3"/>
    <row r="50" s="88" customFormat="1" ht="15.75" customHeight="1" x14ac:dyDescent="0.3"/>
    <row r="51" s="88" customFormat="1" ht="15.75" customHeight="1" x14ac:dyDescent="0.3"/>
    <row r="52" s="88" customFormat="1" ht="15.75" customHeight="1" x14ac:dyDescent="0.3"/>
    <row r="53" s="88" customFormat="1" ht="15.75" customHeight="1" x14ac:dyDescent="0.3"/>
    <row r="54" s="88" customFormat="1" ht="15.75" customHeight="1" x14ac:dyDescent="0.3"/>
    <row r="55" s="88" customFormat="1" ht="15.75" customHeight="1" x14ac:dyDescent="0.3"/>
    <row r="56" s="88" customFormat="1" ht="15.75" customHeight="1" x14ac:dyDescent="0.3"/>
    <row r="57" s="88" customFormat="1" ht="15.75" customHeight="1" x14ac:dyDescent="0.3"/>
    <row r="58" s="88" customFormat="1" ht="15.75" customHeight="1" x14ac:dyDescent="0.3"/>
    <row r="59" s="88" customFormat="1" ht="15.75" customHeight="1" x14ac:dyDescent="0.3"/>
    <row r="60" s="88" customFormat="1" ht="15.75" customHeight="1" x14ac:dyDescent="0.3"/>
    <row r="61" s="88" customFormat="1" ht="15.75" customHeight="1" x14ac:dyDescent="0.3"/>
    <row r="62" s="88" customFormat="1" ht="15.75" customHeight="1" x14ac:dyDescent="0.3"/>
    <row r="63" s="88" customFormat="1" ht="15.75" customHeight="1" x14ac:dyDescent="0.3"/>
    <row r="64" s="88" customFormat="1" ht="15.75" customHeight="1" x14ac:dyDescent="0.3"/>
    <row r="65" s="88" customFormat="1" ht="15.75" customHeight="1" x14ac:dyDescent="0.3"/>
    <row r="66" s="88" customFormat="1" ht="15.75" customHeight="1" x14ac:dyDescent="0.3"/>
    <row r="67" s="88" customFormat="1" ht="15.75" customHeight="1" x14ac:dyDescent="0.3"/>
    <row r="68" s="88" customFormat="1" ht="15.75" customHeight="1" x14ac:dyDescent="0.3"/>
    <row r="69" s="88" customFormat="1" ht="15.75" customHeight="1" x14ac:dyDescent="0.3"/>
    <row r="70" s="88" customFormat="1" ht="15.75" customHeight="1" x14ac:dyDescent="0.3"/>
    <row r="71" s="88" customFormat="1" ht="15.75" customHeight="1" x14ac:dyDescent="0.3"/>
    <row r="72" s="88" customFormat="1" ht="15.75" customHeight="1" x14ac:dyDescent="0.3"/>
    <row r="73" s="88" customFormat="1" ht="15.75" customHeight="1" x14ac:dyDescent="0.3"/>
    <row r="74" s="88" customFormat="1" ht="15.75" customHeight="1" x14ac:dyDescent="0.3"/>
    <row r="75" s="88" customFormat="1" ht="15.75" customHeight="1" x14ac:dyDescent="0.3"/>
    <row r="76" s="88" customFormat="1" ht="15.75" customHeight="1" x14ac:dyDescent="0.3"/>
    <row r="77" s="88" customFormat="1" ht="15.75" customHeight="1" x14ac:dyDescent="0.3"/>
    <row r="78" s="88" customFormat="1" ht="15.75" customHeight="1" x14ac:dyDescent="0.3"/>
    <row r="79" s="88" customFormat="1" ht="15.75" customHeight="1" x14ac:dyDescent="0.3"/>
    <row r="80" s="88" customFormat="1" ht="15.75" customHeight="1" x14ac:dyDescent="0.3"/>
    <row r="81" s="88" customFormat="1" ht="15.75" customHeight="1" x14ac:dyDescent="0.3"/>
    <row r="82" s="88" customFormat="1" ht="15.75" customHeight="1" x14ac:dyDescent="0.3"/>
    <row r="83" s="88" customFormat="1" ht="15.75" customHeight="1" x14ac:dyDescent="0.3"/>
    <row r="84" s="88" customFormat="1" ht="15.75" customHeight="1" x14ac:dyDescent="0.3"/>
    <row r="85" s="88" customFormat="1" ht="15.75" customHeight="1" x14ac:dyDescent="0.3"/>
    <row r="86" s="88" customFormat="1" ht="15.75" customHeight="1" x14ac:dyDescent="0.3"/>
    <row r="87" s="88" customFormat="1" ht="15.75" customHeight="1" x14ac:dyDescent="0.3"/>
    <row r="88" s="88" customFormat="1" ht="15.75" customHeight="1" x14ac:dyDescent="0.3"/>
    <row r="89" s="88" customFormat="1" ht="15.75" customHeight="1" x14ac:dyDescent="0.3"/>
    <row r="90" s="88" customFormat="1" ht="15.75" customHeight="1" x14ac:dyDescent="0.3"/>
    <row r="91" s="88" customFormat="1" ht="15.75" customHeight="1" x14ac:dyDescent="0.3"/>
    <row r="92" s="88" customFormat="1" ht="15.75" customHeight="1" x14ac:dyDescent="0.3"/>
    <row r="93" s="88" customFormat="1" ht="15.75" customHeight="1" x14ac:dyDescent="0.3"/>
    <row r="94" s="88" customFormat="1" ht="15.75" customHeight="1" x14ac:dyDescent="0.3"/>
    <row r="95" s="88" customFormat="1" ht="15.75" customHeight="1" x14ac:dyDescent="0.3"/>
    <row r="96" s="88" customFormat="1" ht="15.75" customHeight="1" x14ac:dyDescent="0.3"/>
    <row r="97" s="88" customFormat="1" ht="15.75" customHeight="1" x14ac:dyDescent="0.3"/>
    <row r="98" s="88" customFormat="1" ht="15.75" customHeight="1" x14ac:dyDescent="0.3"/>
    <row r="99" s="88" customFormat="1" ht="15.75" customHeight="1" x14ac:dyDescent="0.3"/>
    <row r="100" s="88" customFormat="1" ht="15.75" customHeight="1" x14ac:dyDescent="0.3"/>
    <row r="101" s="88" customFormat="1" ht="15.75" customHeight="1" x14ac:dyDescent="0.3"/>
    <row r="102" s="88" customFormat="1" ht="15.75" customHeight="1" x14ac:dyDescent="0.3"/>
    <row r="103" s="88" customFormat="1" ht="15.75" customHeight="1" x14ac:dyDescent="0.3"/>
    <row r="104" s="88" customFormat="1" ht="15.75" customHeight="1" x14ac:dyDescent="0.3"/>
    <row r="105" s="88" customFormat="1" ht="15.75" customHeight="1" x14ac:dyDescent="0.3"/>
    <row r="106" s="88" customFormat="1" ht="15.75" customHeight="1" x14ac:dyDescent="0.3"/>
    <row r="107" s="88" customFormat="1" ht="15.75" customHeight="1" x14ac:dyDescent="0.3"/>
    <row r="108" s="88" customFormat="1" ht="15.75" customHeight="1" x14ac:dyDescent="0.3"/>
    <row r="109" s="88" customFormat="1" ht="15.75" customHeight="1" x14ac:dyDescent="0.3"/>
    <row r="110" s="88" customFormat="1" ht="15.75" customHeight="1" x14ac:dyDescent="0.3"/>
    <row r="111" s="88" customFormat="1" ht="15.75" customHeight="1" x14ac:dyDescent="0.3"/>
    <row r="112" s="88" customFormat="1" ht="15.75" customHeight="1" x14ac:dyDescent="0.3"/>
    <row r="113" s="88" customFormat="1" ht="15.75" customHeight="1" x14ac:dyDescent="0.3"/>
    <row r="114" s="88" customFormat="1" ht="15.75" customHeight="1" x14ac:dyDescent="0.3"/>
    <row r="115" s="88" customFormat="1" ht="15.75" customHeight="1" x14ac:dyDescent="0.3"/>
    <row r="116" s="88" customFormat="1" ht="15.75" customHeight="1" x14ac:dyDescent="0.3"/>
    <row r="117" s="88" customFormat="1" ht="15.75" customHeight="1" x14ac:dyDescent="0.3"/>
    <row r="118" s="88" customFormat="1" ht="15.75" customHeight="1" x14ac:dyDescent="0.3"/>
    <row r="119" s="88" customFormat="1" ht="15.75" customHeight="1" x14ac:dyDescent="0.3"/>
    <row r="120" s="88" customFormat="1" ht="15.75" customHeight="1" x14ac:dyDescent="0.3"/>
    <row r="121" s="88" customFormat="1" ht="15.75" customHeight="1" x14ac:dyDescent="0.3"/>
    <row r="122" s="88" customFormat="1" ht="15.75" customHeight="1" x14ac:dyDescent="0.3"/>
    <row r="123" s="88" customFormat="1" ht="15.75" customHeight="1" x14ac:dyDescent="0.3"/>
    <row r="124" s="88" customFormat="1" ht="15.75" customHeight="1" x14ac:dyDescent="0.3"/>
    <row r="125" s="88" customFormat="1" ht="15.75" customHeight="1" x14ac:dyDescent="0.3"/>
    <row r="126" s="88" customFormat="1" ht="15.75" customHeight="1" x14ac:dyDescent="0.3"/>
    <row r="127" s="88" customFormat="1" ht="15.75" customHeight="1" x14ac:dyDescent="0.3"/>
    <row r="128" s="88" customFormat="1" ht="15.75" customHeight="1" x14ac:dyDescent="0.3"/>
    <row r="129" s="88" customFormat="1" ht="15.75" customHeight="1" x14ac:dyDescent="0.3"/>
    <row r="130" s="88" customFormat="1" ht="15.75" customHeight="1" x14ac:dyDescent="0.3"/>
    <row r="131" s="88" customFormat="1" ht="15.75" customHeight="1" x14ac:dyDescent="0.3"/>
    <row r="132" s="88" customFormat="1" ht="15.75" customHeight="1" x14ac:dyDescent="0.3"/>
    <row r="133" s="88" customFormat="1" ht="15.75" customHeight="1" x14ac:dyDescent="0.3"/>
    <row r="134" s="88" customFormat="1" ht="15.75" customHeight="1" x14ac:dyDescent="0.3"/>
    <row r="135" s="88" customFormat="1" ht="15.75" customHeight="1" x14ac:dyDescent="0.3"/>
    <row r="136" s="88" customFormat="1" ht="15.75" customHeight="1" x14ac:dyDescent="0.3"/>
    <row r="137" s="88" customFormat="1" ht="15.75" customHeight="1" x14ac:dyDescent="0.3"/>
    <row r="138" s="88" customFormat="1" ht="15.75" customHeight="1" x14ac:dyDescent="0.3"/>
    <row r="139" s="88" customFormat="1" ht="15.75" customHeight="1" x14ac:dyDescent="0.3"/>
    <row r="140" s="88" customFormat="1" ht="15.75" customHeight="1" x14ac:dyDescent="0.3"/>
    <row r="141" s="88" customFormat="1" ht="15.75" customHeight="1" x14ac:dyDescent="0.3"/>
    <row r="142" s="88" customFormat="1" ht="15.75" customHeight="1" x14ac:dyDescent="0.3"/>
    <row r="143" s="88" customFormat="1" ht="15.75" customHeight="1" x14ac:dyDescent="0.3"/>
    <row r="144" s="88" customFormat="1" ht="15.75" customHeight="1" x14ac:dyDescent="0.3"/>
    <row r="145" s="88" customFormat="1" ht="15.75" customHeight="1" x14ac:dyDescent="0.3"/>
    <row r="146" s="88" customFormat="1" ht="15.75" customHeight="1" x14ac:dyDescent="0.3"/>
    <row r="147" s="88" customFormat="1" ht="15.75" customHeight="1" x14ac:dyDescent="0.3"/>
    <row r="148" s="88" customFormat="1" ht="15.75" customHeight="1" x14ac:dyDescent="0.3"/>
    <row r="149" s="88" customFormat="1" ht="15.75" customHeight="1" x14ac:dyDescent="0.3"/>
    <row r="150" s="88" customFormat="1" ht="15.75" customHeight="1" x14ac:dyDescent="0.3"/>
    <row r="151" s="88" customFormat="1" ht="15.75" customHeight="1" x14ac:dyDescent="0.3"/>
    <row r="152" s="88" customFormat="1" ht="15.75" customHeight="1" x14ac:dyDescent="0.3"/>
    <row r="153" s="88" customFormat="1" ht="15.75" customHeight="1" x14ac:dyDescent="0.3"/>
    <row r="154" s="88" customFormat="1" ht="15.75" customHeight="1" x14ac:dyDescent="0.3"/>
    <row r="155" s="88" customFormat="1" ht="15.75" customHeight="1" x14ac:dyDescent="0.3"/>
    <row r="156" s="88" customFormat="1" ht="15.75" customHeight="1" x14ac:dyDescent="0.3"/>
    <row r="157" s="88" customFormat="1" ht="15.75" customHeight="1" x14ac:dyDescent="0.3"/>
    <row r="158" s="88" customFormat="1" ht="15.75" customHeight="1" x14ac:dyDescent="0.3"/>
    <row r="159" s="88" customFormat="1" ht="15.75" customHeight="1" x14ac:dyDescent="0.3"/>
    <row r="160" s="88" customFormat="1" ht="15.75" customHeight="1" x14ac:dyDescent="0.3"/>
    <row r="161" s="88" customFormat="1" ht="15.75" customHeight="1" x14ac:dyDescent="0.3"/>
    <row r="162" s="88" customFormat="1" ht="15.75" customHeight="1" x14ac:dyDescent="0.3"/>
    <row r="163" s="88" customFormat="1" ht="15.75" customHeight="1" x14ac:dyDescent="0.3"/>
    <row r="164" s="88" customFormat="1" ht="15.75" customHeight="1" x14ac:dyDescent="0.3"/>
    <row r="165" s="88" customFormat="1" ht="15.75" customHeight="1" x14ac:dyDescent="0.3"/>
    <row r="166" s="88" customFormat="1" ht="15.75" customHeight="1" x14ac:dyDescent="0.3"/>
    <row r="167" s="88" customFormat="1" ht="15.75" customHeight="1" x14ac:dyDescent="0.3"/>
    <row r="168" s="88" customFormat="1" ht="15.75" customHeight="1" x14ac:dyDescent="0.3"/>
    <row r="169" s="88" customFormat="1" ht="15.75" customHeight="1" x14ac:dyDescent="0.3"/>
    <row r="170" s="88" customFormat="1" ht="15.75" customHeight="1" x14ac:dyDescent="0.3"/>
    <row r="171" s="88" customFormat="1" ht="15.75" customHeight="1" x14ac:dyDescent="0.3"/>
    <row r="172" s="88" customFormat="1" ht="15.75" customHeight="1" x14ac:dyDescent="0.3"/>
    <row r="173" s="88" customFormat="1" ht="15.75" customHeight="1" x14ac:dyDescent="0.3"/>
    <row r="174" s="88" customFormat="1" ht="15.75" customHeight="1" x14ac:dyDescent="0.3"/>
    <row r="175" s="88" customFormat="1" ht="15.75" customHeight="1" x14ac:dyDescent="0.3"/>
    <row r="176" s="88" customFormat="1" ht="15.75" customHeight="1" x14ac:dyDescent="0.3"/>
    <row r="177" s="88" customFormat="1" ht="15.75" customHeight="1" x14ac:dyDescent="0.3"/>
    <row r="178" s="88" customFormat="1" ht="15.75" customHeight="1" x14ac:dyDescent="0.3"/>
    <row r="179" s="88" customFormat="1" ht="15.75" customHeight="1" x14ac:dyDescent="0.3"/>
    <row r="180" s="88" customFormat="1" ht="15.75" customHeight="1" x14ac:dyDescent="0.3"/>
    <row r="181" s="88" customFormat="1" ht="15.75" customHeight="1" x14ac:dyDescent="0.3"/>
    <row r="182" s="88" customFormat="1" ht="15.75" customHeight="1" x14ac:dyDescent="0.3"/>
    <row r="183" s="88" customFormat="1" ht="15.75" customHeight="1" x14ac:dyDescent="0.3"/>
    <row r="184" s="88" customFormat="1" ht="15.75" customHeight="1" x14ac:dyDescent="0.3"/>
    <row r="185" s="88" customFormat="1" ht="15.75" customHeight="1" x14ac:dyDescent="0.3"/>
    <row r="186" s="88" customFormat="1" ht="15.75" customHeight="1" x14ac:dyDescent="0.3"/>
    <row r="187" s="88" customFormat="1" ht="15.75" customHeight="1" x14ac:dyDescent="0.3"/>
    <row r="188" s="88" customFormat="1" ht="15.75" customHeight="1" x14ac:dyDescent="0.3"/>
    <row r="189" s="88" customFormat="1" ht="15.75" customHeight="1" x14ac:dyDescent="0.3"/>
    <row r="190" s="88" customFormat="1" ht="15.75" customHeight="1" x14ac:dyDescent="0.3"/>
    <row r="191" s="88" customFormat="1" ht="15.75" customHeight="1" x14ac:dyDescent="0.3"/>
    <row r="192" s="88" customFormat="1" ht="15.75" customHeight="1" x14ac:dyDescent="0.3"/>
    <row r="193" s="88" customFormat="1" ht="15.75" customHeight="1" x14ac:dyDescent="0.3"/>
    <row r="194" s="88" customFormat="1" ht="15.75" customHeight="1" x14ac:dyDescent="0.3"/>
    <row r="195" s="88" customFormat="1" ht="15.75" customHeight="1" x14ac:dyDescent="0.3"/>
    <row r="196" s="88" customFormat="1" ht="15.75" customHeight="1" x14ac:dyDescent="0.3"/>
    <row r="197" s="88" customFormat="1" ht="15.75" customHeight="1" x14ac:dyDescent="0.3"/>
    <row r="198" s="88" customFormat="1" ht="15.75" customHeight="1" x14ac:dyDescent="0.3"/>
    <row r="199" s="88" customFormat="1" ht="15.75" customHeight="1" x14ac:dyDescent="0.3"/>
    <row r="200" s="88" customFormat="1" ht="15.75" customHeight="1" x14ac:dyDescent="0.3"/>
    <row r="201" s="88" customFormat="1" ht="15.75" customHeight="1" x14ac:dyDescent="0.3"/>
    <row r="202" s="88" customFormat="1" ht="15.75" customHeight="1" x14ac:dyDescent="0.3"/>
    <row r="203" s="88" customFormat="1" ht="15.75" customHeight="1" x14ac:dyDescent="0.3"/>
    <row r="204" s="88" customFormat="1" ht="15.75" customHeight="1" x14ac:dyDescent="0.3"/>
    <row r="205" s="88" customFormat="1" ht="15.75" customHeight="1" x14ac:dyDescent="0.3"/>
    <row r="206" s="88" customFormat="1" ht="15.75" customHeight="1" x14ac:dyDescent="0.3"/>
    <row r="207" s="88" customFormat="1" ht="15.75" customHeight="1" x14ac:dyDescent="0.3"/>
    <row r="208" s="88" customFormat="1" ht="15.75" customHeight="1" x14ac:dyDescent="0.3"/>
    <row r="209" s="88" customFormat="1" ht="15.75" customHeight="1" x14ac:dyDescent="0.3"/>
    <row r="210" s="88" customFormat="1" ht="15.75" customHeight="1" x14ac:dyDescent="0.3"/>
    <row r="211" s="88" customFormat="1" ht="15.75" customHeight="1" x14ac:dyDescent="0.3"/>
    <row r="212" s="88" customFormat="1" ht="15.75" customHeight="1" x14ac:dyDescent="0.3"/>
    <row r="213" s="88" customFormat="1" ht="15.75" customHeight="1" x14ac:dyDescent="0.3"/>
    <row r="214" s="88" customFormat="1" ht="15.75" customHeight="1" x14ac:dyDescent="0.3"/>
    <row r="215" s="88" customFormat="1" ht="15.75" customHeight="1" x14ac:dyDescent="0.3"/>
    <row r="216" s="88" customFormat="1" ht="15.75" customHeight="1" x14ac:dyDescent="0.3"/>
    <row r="217" s="88" customFormat="1" ht="15.75" customHeight="1" x14ac:dyDescent="0.3"/>
    <row r="218" s="88" customFormat="1" ht="15.75" customHeight="1" x14ac:dyDescent="0.3"/>
    <row r="219" s="88" customFormat="1" ht="15.75" customHeight="1" x14ac:dyDescent="0.3"/>
    <row r="220" s="88" customFormat="1" ht="15.75" customHeight="1" x14ac:dyDescent="0.3"/>
    <row r="221" s="88" customFormat="1" ht="15.75" customHeight="1" x14ac:dyDescent="0.3"/>
    <row r="222" s="88" customFormat="1" ht="15.75" customHeight="1" x14ac:dyDescent="0.3"/>
    <row r="223" s="88" customFormat="1" ht="15.75" customHeight="1" x14ac:dyDescent="0.3"/>
    <row r="224" s="88" customFormat="1" ht="15.75" customHeight="1" x14ac:dyDescent="0.3"/>
    <row r="225" s="88" customFormat="1" ht="15.75" customHeight="1" x14ac:dyDescent="0.3"/>
    <row r="226" s="88" customFormat="1" ht="15.75" customHeight="1" x14ac:dyDescent="0.3"/>
    <row r="227" s="88" customFormat="1" ht="15.75" customHeight="1" x14ac:dyDescent="0.3"/>
    <row r="228" s="88" customFormat="1" ht="15.75" customHeight="1" x14ac:dyDescent="0.3"/>
    <row r="229" s="88" customFormat="1" ht="15.75" customHeight="1" x14ac:dyDescent="0.3"/>
    <row r="230" s="88" customFormat="1" ht="15.75" customHeight="1" x14ac:dyDescent="0.3"/>
    <row r="231" s="88" customFormat="1" ht="15.75" customHeight="1" x14ac:dyDescent="0.3"/>
    <row r="232" s="88" customFormat="1" ht="15.75" customHeight="1" x14ac:dyDescent="0.3"/>
    <row r="233" s="88" customFormat="1" ht="15.75" customHeight="1" x14ac:dyDescent="0.3"/>
    <row r="234" s="88" customFormat="1" ht="15.75" customHeight="1" x14ac:dyDescent="0.3"/>
    <row r="235" s="88" customFormat="1" ht="15.75" customHeight="1" x14ac:dyDescent="0.3"/>
    <row r="236" s="88" customFormat="1" ht="15.75" customHeight="1" x14ac:dyDescent="0.3"/>
    <row r="237" s="88" customFormat="1" ht="15.75" customHeight="1" x14ac:dyDescent="0.3"/>
    <row r="238" s="88" customFormat="1" ht="15.75" customHeight="1" x14ac:dyDescent="0.3"/>
    <row r="239" s="88" customFormat="1" ht="15.75" customHeight="1" x14ac:dyDescent="0.3"/>
    <row r="240" s="88" customFormat="1" ht="15.75" customHeight="1" x14ac:dyDescent="0.3"/>
    <row r="241" s="88" customFormat="1" ht="15.75" customHeight="1" x14ac:dyDescent="0.3"/>
    <row r="242" s="88" customFormat="1" ht="15.75" customHeight="1" x14ac:dyDescent="0.3"/>
    <row r="243" s="88" customFormat="1" ht="15.75" customHeight="1" x14ac:dyDescent="0.3"/>
    <row r="244" s="88" customFormat="1" ht="15.75" customHeight="1" x14ac:dyDescent="0.3"/>
    <row r="245" s="88" customFormat="1" ht="15.75" customHeight="1" x14ac:dyDescent="0.3"/>
    <row r="246" s="88" customFormat="1" ht="15.75" customHeight="1" x14ac:dyDescent="0.3"/>
    <row r="247" s="88" customFormat="1" ht="15.75" customHeight="1" x14ac:dyDescent="0.3"/>
    <row r="248" s="88" customFormat="1" ht="15.75" customHeight="1" x14ac:dyDescent="0.3"/>
    <row r="249" s="88" customFormat="1" ht="15.75" customHeight="1" x14ac:dyDescent="0.3"/>
    <row r="250" s="88" customFormat="1" ht="15.75" customHeight="1" x14ac:dyDescent="0.3"/>
    <row r="251" s="88" customFormat="1" ht="15.75" customHeight="1" x14ac:dyDescent="0.3"/>
    <row r="252" s="88" customFormat="1" ht="15.75" customHeight="1" x14ac:dyDescent="0.3"/>
    <row r="253" s="88" customFormat="1" ht="15.75" customHeight="1" x14ac:dyDescent="0.3"/>
    <row r="254" s="88" customFormat="1" ht="15.75" customHeight="1" x14ac:dyDescent="0.3"/>
    <row r="255" s="88" customFormat="1" ht="15.75" customHeight="1" x14ac:dyDescent="0.3"/>
    <row r="256" s="88" customFormat="1" ht="15.75" customHeight="1" x14ac:dyDescent="0.3"/>
    <row r="257" s="88" customFormat="1" ht="15.75" customHeight="1" x14ac:dyDescent="0.3"/>
    <row r="258" s="88" customFormat="1" ht="15.75" customHeight="1" x14ac:dyDescent="0.3"/>
    <row r="259" s="88" customFormat="1" ht="15.75" customHeight="1" x14ac:dyDescent="0.3"/>
    <row r="260" s="88" customFormat="1" ht="15.75" customHeight="1" x14ac:dyDescent="0.3"/>
    <row r="261" s="88" customFormat="1" ht="15.75" customHeight="1" x14ac:dyDescent="0.3"/>
    <row r="262" s="88" customFormat="1" ht="15.75" customHeight="1" x14ac:dyDescent="0.3"/>
    <row r="263" s="88" customFormat="1" ht="15.75" customHeight="1" x14ac:dyDescent="0.3"/>
    <row r="264" s="88" customFormat="1" ht="15.75" customHeight="1" x14ac:dyDescent="0.3"/>
    <row r="265" s="88" customFormat="1" ht="15.75" customHeight="1" x14ac:dyDescent="0.3"/>
    <row r="266" s="88" customFormat="1" ht="15.75" customHeight="1" x14ac:dyDescent="0.3"/>
    <row r="267" s="88" customFormat="1" ht="15.75" customHeight="1" x14ac:dyDescent="0.3"/>
    <row r="268" s="88" customFormat="1" ht="15.75" customHeight="1" x14ac:dyDescent="0.3"/>
    <row r="269" s="88" customFormat="1" ht="15.75" customHeight="1" x14ac:dyDescent="0.3"/>
    <row r="270" s="88" customFormat="1" ht="15.75" customHeight="1" x14ac:dyDescent="0.3"/>
    <row r="271" s="88" customFormat="1" ht="15.75" customHeight="1" x14ac:dyDescent="0.3"/>
    <row r="272" s="88" customFormat="1" ht="15.75" customHeight="1" x14ac:dyDescent="0.3"/>
    <row r="273" s="88" customFormat="1" ht="15.75" customHeight="1" x14ac:dyDescent="0.3"/>
    <row r="274" s="88" customFormat="1" ht="15.75" customHeight="1" x14ac:dyDescent="0.3"/>
    <row r="275" s="88" customFormat="1" ht="15.75" customHeight="1" x14ac:dyDescent="0.3"/>
    <row r="276" s="88" customFormat="1" ht="15.75" customHeight="1" x14ac:dyDescent="0.3"/>
    <row r="277" s="88" customFormat="1" ht="15.75" customHeight="1" x14ac:dyDescent="0.3"/>
    <row r="278" s="88" customFormat="1" ht="15.75" customHeight="1" x14ac:dyDescent="0.3"/>
    <row r="279" s="88" customFormat="1" ht="15.75" customHeight="1" x14ac:dyDescent="0.3"/>
    <row r="280" s="88" customFormat="1" ht="15.75" customHeight="1" x14ac:dyDescent="0.3"/>
    <row r="281" s="88" customFormat="1" ht="15.75" customHeight="1" x14ac:dyDescent="0.3"/>
    <row r="282" s="88" customFormat="1" ht="15.75" customHeight="1" x14ac:dyDescent="0.3"/>
    <row r="283" s="88" customFormat="1" ht="15.75" customHeight="1" x14ac:dyDescent="0.3"/>
    <row r="284" s="88" customFormat="1" ht="15.75" customHeight="1" x14ac:dyDescent="0.3"/>
    <row r="285" s="88" customFormat="1" ht="15.75" customHeight="1" x14ac:dyDescent="0.3"/>
    <row r="286" s="88" customFormat="1" ht="15.75" customHeight="1" x14ac:dyDescent="0.3"/>
    <row r="287" s="88" customFormat="1" ht="15.75" customHeight="1" x14ac:dyDescent="0.3"/>
    <row r="288" s="88" customFormat="1" ht="15.75" customHeight="1" x14ac:dyDescent="0.3"/>
    <row r="289" s="88" customFormat="1" ht="15.75" customHeight="1" x14ac:dyDescent="0.3"/>
    <row r="290" s="88" customFormat="1" ht="15.75" customHeight="1" x14ac:dyDescent="0.3"/>
    <row r="291" s="88" customFormat="1" ht="15.75" customHeight="1" x14ac:dyDescent="0.3"/>
    <row r="292" s="88" customFormat="1" ht="15.75" customHeight="1" x14ac:dyDescent="0.3"/>
    <row r="293" s="88" customFormat="1" ht="15.75" customHeight="1" x14ac:dyDescent="0.3"/>
    <row r="294" s="88" customFormat="1" ht="15.75" customHeight="1" x14ac:dyDescent="0.3"/>
    <row r="295" s="88" customFormat="1" ht="15.75" customHeight="1" x14ac:dyDescent="0.3"/>
    <row r="296" s="88" customFormat="1" ht="15.75" customHeight="1" x14ac:dyDescent="0.3"/>
    <row r="297" s="88" customFormat="1" ht="15.75" customHeight="1" x14ac:dyDescent="0.3"/>
    <row r="298" s="88" customFormat="1" ht="15.75" customHeight="1" x14ac:dyDescent="0.3"/>
    <row r="299" s="88" customFormat="1" ht="15.75" customHeight="1" x14ac:dyDescent="0.3"/>
    <row r="300" s="88" customFormat="1" ht="15.75" customHeight="1" x14ac:dyDescent="0.3"/>
    <row r="301" s="88" customFormat="1" ht="15.75" customHeight="1" x14ac:dyDescent="0.3"/>
    <row r="302" s="88" customFormat="1" ht="15.75" customHeight="1" x14ac:dyDescent="0.3"/>
    <row r="303" s="88" customFormat="1" ht="15.75" customHeight="1" x14ac:dyDescent="0.3"/>
    <row r="304" s="88" customFormat="1" ht="15.75" customHeight="1" x14ac:dyDescent="0.3"/>
    <row r="305" s="88" customFormat="1" ht="15.75" customHeight="1" x14ac:dyDescent="0.3"/>
    <row r="306" s="88" customFormat="1" ht="15.75" customHeight="1" x14ac:dyDescent="0.3"/>
    <row r="307" s="88" customFormat="1" ht="15.75" customHeight="1" x14ac:dyDescent="0.3"/>
    <row r="308" s="88" customFormat="1" ht="15.75" customHeight="1" x14ac:dyDescent="0.3"/>
    <row r="309" s="88" customFormat="1" ht="15.75" customHeight="1" x14ac:dyDescent="0.3"/>
    <row r="310" s="88" customFormat="1" ht="15.75" customHeight="1" x14ac:dyDescent="0.3"/>
    <row r="311" s="88" customFormat="1" ht="15.75" customHeight="1" x14ac:dyDescent="0.3"/>
    <row r="312" s="88" customFormat="1" ht="15.75" customHeight="1" x14ac:dyDescent="0.3"/>
    <row r="313" s="88" customFormat="1" ht="15.75" customHeight="1" x14ac:dyDescent="0.3"/>
    <row r="314" s="88" customFormat="1" ht="15.75" customHeight="1" x14ac:dyDescent="0.3"/>
    <row r="315" s="88" customFormat="1" ht="15.75" customHeight="1" x14ac:dyDescent="0.3"/>
    <row r="316" s="88" customFormat="1" ht="15.75" customHeight="1" x14ac:dyDescent="0.3"/>
    <row r="317" s="88" customFormat="1" ht="15.75" customHeight="1" x14ac:dyDescent="0.3"/>
    <row r="318" s="88" customFormat="1" ht="15.75" customHeight="1" x14ac:dyDescent="0.3"/>
    <row r="319" s="88" customFormat="1" ht="15.75" customHeight="1" x14ac:dyDescent="0.3"/>
    <row r="320" s="88" customFormat="1" ht="15.75" customHeight="1" x14ac:dyDescent="0.3"/>
    <row r="321" s="88" customFormat="1" ht="15.75" customHeight="1" x14ac:dyDescent="0.3"/>
    <row r="322" s="88" customFormat="1" ht="15.75" customHeight="1" x14ac:dyDescent="0.3"/>
    <row r="323" s="88" customFormat="1" ht="15.75" customHeight="1" x14ac:dyDescent="0.3"/>
    <row r="324" s="88" customFormat="1" ht="15.75" customHeight="1" x14ac:dyDescent="0.3"/>
    <row r="325" s="88" customFormat="1" ht="15.75" customHeight="1" x14ac:dyDescent="0.3"/>
    <row r="326" s="88" customFormat="1" ht="15.75" customHeight="1" x14ac:dyDescent="0.3"/>
    <row r="327" s="88" customFormat="1" ht="15.75" customHeight="1" x14ac:dyDescent="0.3"/>
    <row r="328" s="88" customFormat="1" ht="15.75" customHeight="1" x14ac:dyDescent="0.3"/>
    <row r="329" s="88" customFormat="1" ht="15.75" customHeight="1" x14ac:dyDescent="0.3"/>
    <row r="330" s="88" customFormat="1" ht="15.75" customHeight="1" x14ac:dyDescent="0.3"/>
    <row r="331" s="88" customFormat="1" ht="15.75" customHeight="1" x14ac:dyDescent="0.3"/>
    <row r="332" s="88" customFormat="1" ht="15.75" customHeight="1" x14ac:dyDescent="0.3"/>
    <row r="333" s="88" customFormat="1" ht="15.75" customHeight="1" x14ac:dyDescent="0.3"/>
    <row r="334" s="88" customFormat="1" ht="15.75" customHeight="1" x14ac:dyDescent="0.3"/>
    <row r="335" s="88" customFormat="1" ht="15.75" customHeight="1" x14ac:dyDescent="0.3"/>
    <row r="336" s="88" customFormat="1" ht="15.75" customHeight="1" x14ac:dyDescent="0.3"/>
    <row r="337" s="88" customFormat="1" ht="15.75" customHeight="1" x14ac:dyDescent="0.3"/>
    <row r="338" s="88" customFormat="1" ht="15.75" customHeight="1" x14ac:dyDescent="0.3"/>
    <row r="339" s="88" customFormat="1" ht="15.75" customHeight="1" x14ac:dyDescent="0.3"/>
    <row r="340" s="88" customFormat="1" ht="15.75" customHeight="1" x14ac:dyDescent="0.3"/>
    <row r="341" s="88" customFormat="1" ht="15.75" customHeight="1" x14ac:dyDescent="0.3"/>
    <row r="342" s="88" customFormat="1" ht="15.75" customHeight="1" x14ac:dyDescent="0.3"/>
    <row r="343" s="88" customFormat="1" ht="15.75" customHeight="1" x14ac:dyDescent="0.3"/>
    <row r="344" s="88" customFormat="1" ht="15.75" customHeight="1" x14ac:dyDescent="0.3"/>
    <row r="345" s="88" customFormat="1" ht="15.75" customHeight="1" x14ac:dyDescent="0.3"/>
    <row r="346" s="88" customFormat="1" ht="15.75" customHeight="1" x14ac:dyDescent="0.3"/>
    <row r="347" s="88" customFormat="1" ht="15.75" customHeight="1" x14ac:dyDescent="0.3"/>
    <row r="348" s="88" customFormat="1" ht="15.75" customHeight="1" x14ac:dyDescent="0.3"/>
    <row r="349" s="88" customFormat="1" ht="15.75" customHeight="1" x14ac:dyDescent="0.3"/>
    <row r="350" s="88" customFormat="1" ht="15.75" customHeight="1" x14ac:dyDescent="0.3"/>
    <row r="351" s="88" customFormat="1" ht="15.75" customHeight="1" x14ac:dyDescent="0.3"/>
    <row r="352" s="88" customFormat="1" ht="15.75" customHeight="1" x14ac:dyDescent="0.3"/>
    <row r="353" s="88" customFormat="1" ht="15.75" customHeight="1" x14ac:dyDescent="0.3"/>
    <row r="354" s="88" customFormat="1" ht="15.75" customHeight="1" x14ac:dyDescent="0.3"/>
    <row r="355" s="88" customFormat="1" ht="15.75" customHeight="1" x14ac:dyDescent="0.3"/>
    <row r="356" s="88" customFormat="1" ht="15.75" customHeight="1" x14ac:dyDescent="0.3"/>
    <row r="357" s="88" customFormat="1" ht="15.75" customHeight="1" x14ac:dyDescent="0.3"/>
    <row r="358" s="88" customFormat="1" ht="15.75" customHeight="1" x14ac:dyDescent="0.3"/>
    <row r="359" s="88" customFormat="1" ht="15.75" customHeight="1" x14ac:dyDescent="0.3"/>
    <row r="360" s="88" customFormat="1" ht="15.75" customHeight="1" x14ac:dyDescent="0.3"/>
    <row r="361" s="88" customFormat="1" ht="15.75" customHeight="1" x14ac:dyDescent="0.3"/>
    <row r="362" s="88" customFormat="1" ht="15.75" customHeight="1" x14ac:dyDescent="0.3"/>
    <row r="363" s="88" customFormat="1" ht="15.75" customHeight="1" x14ac:dyDescent="0.3"/>
    <row r="364" s="88" customFormat="1" ht="15.75" customHeight="1" x14ac:dyDescent="0.3"/>
    <row r="365" s="88" customFormat="1" ht="15.75" customHeight="1" x14ac:dyDescent="0.3"/>
    <row r="366" s="88" customFormat="1" ht="15.75" customHeight="1" x14ac:dyDescent="0.3"/>
    <row r="367" s="88" customFormat="1" ht="15.75" customHeight="1" x14ac:dyDescent="0.3"/>
    <row r="368" s="88" customFormat="1" ht="15.75" customHeight="1" x14ac:dyDescent="0.3"/>
    <row r="369" s="88" customFormat="1" ht="15.75" customHeight="1" x14ac:dyDescent="0.3"/>
    <row r="370" s="88" customFormat="1" ht="15.75" customHeight="1" x14ac:dyDescent="0.3"/>
    <row r="371" s="88" customFormat="1" ht="15.75" customHeight="1" x14ac:dyDescent="0.3"/>
    <row r="372" s="88" customFormat="1" ht="15.75" customHeight="1" x14ac:dyDescent="0.3"/>
    <row r="373" s="88" customFormat="1" ht="15.75" customHeight="1" x14ac:dyDescent="0.3"/>
    <row r="374" s="88" customFormat="1" ht="15.75" customHeight="1" x14ac:dyDescent="0.3"/>
    <row r="375" s="88" customFormat="1" ht="15.75" customHeight="1" x14ac:dyDescent="0.3"/>
    <row r="376" s="88" customFormat="1" ht="15.75" customHeight="1" x14ac:dyDescent="0.3"/>
    <row r="377" s="88" customFormat="1" ht="15.75" customHeight="1" x14ac:dyDescent="0.3"/>
    <row r="378" s="88" customFormat="1" ht="15.75" customHeight="1" x14ac:dyDescent="0.3"/>
    <row r="379" s="88" customFormat="1" ht="15.75" customHeight="1" x14ac:dyDescent="0.3"/>
    <row r="380" s="88" customFormat="1" ht="15.75" customHeight="1" x14ac:dyDescent="0.3"/>
    <row r="381" s="88" customFormat="1" ht="15.75" customHeight="1" x14ac:dyDescent="0.3"/>
    <row r="382" s="88" customFormat="1" ht="15.75" customHeight="1" x14ac:dyDescent="0.3"/>
    <row r="383" s="88" customFormat="1" ht="15.75" customHeight="1" x14ac:dyDescent="0.3"/>
    <row r="384" s="88" customFormat="1" ht="15.75" customHeight="1" x14ac:dyDescent="0.3"/>
    <row r="385" s="88" customFormat="1" ht="15.75" customHeight="1" x14ac:dyDescent="0.3"/>
    <row r="386" s="88" customFormat="1" ht="15.75" customHeight="1" x14ac:dyDescent="0.3"/>
    <row r="387" s="88" customFormat="1" ht="15.75" customHeight="1" x14ac:dyDescent="0.3"/>
    <row r="388" s="88" customFormat="1" ht="15.75" customHeight="1" x14ac:dyDescent="0.3"/>
    <row r="389" s="88" customFormat="1" ht="15.75" customHeight="1" x14ac:dyDescent="0.3"/>
    <row r="390" s="88" customFormat="1" ht="15.75" customHeight="1" x14ac:dyDescent="0.3"/>
    <row r="391" s="88" customFormat="1" ht="15.75" customHeight="1" x14ac:dyDescent="0.3"/>
    <row r="392" s="88" customFormat="1" ht="15.75" customHeight="1" x14ac:dyDescent="0.3"/>
    <row r="393" s="88" customFormat="1" ht="15.75" customHeight="1" x14ac:dyDescent="0.3"/>
    <row r="394" s="88" customFormat="1" ht="15.75" customHeight="1" x14ac:dyDescent="0.3"/>
    <row r="395" s="88" customFormat="1" ht="15.75" customHeight="1" x14ac:dyDescent="0.3"/>
    <row r="396" s="88" customFormat="1" ht="15.75" customHeight="1" x14ac:dyDescent="0.3"/>
    <row r="397" s="88" customFormat="1" ht="15.75" customHeight="1" x14ac:dyDescent="0.3"/>
    <row r="398" s="88" customFormat="1" ht="15.75" customHeight="1" x14ac:dyDescent="0.3"/>
    <row r="399" s="88" customFormat="1" ht="15.75" customHeight="1" x14ac:dyDescent="0.3"/>
    <row r="400" s="88" customFormat="1" ht="15.75" customHeight="1" x14ac:dyDescent="0.3"/>
    <row r="401" s="88" customFormat="1" ht="15.75" customHeight="1" x14ac:dyDescent="0.3"/>
    <row r="402" s="88" customFormat="1" ht="15.75" customHeight="1" x14ac:dyDescent="0.3"/>
    <row r="403" s="88" customFormat="1" ht="15.75" customHeight="1" x14ac:dyDescent="0.3"/>
    <row r="404" s="88" customFormat="1" ht="15.75" customHeight="1" x14ac:dyDescent="0.3"/>
    <row r="405" s="88" customFormat="1" ht="15.75" customHeight="1" x14ac:dyDescent="0.3"/>
    <row r="406" s="88" customFormat="1" ht="15.75" customHeight="1" x14ac:dyDescent="0.3"/>
    <row r="407" s="88" customFormat="1" ht="15.75" customHeight="1" x14ac:dyDescent="0.3"/>
    <row r="408" s="88" customFormat="1" ht="15.75" customHeight="1" x14ac:dyDescent="0.3"/>
    <row r="409" s="88" customFormat="1" ht="15.75" customHeight="1" x14ac:dyDescent="0.3"/>
    <row r="410" s="88" customFormat="1" ht="15.75" customHeight="1" x14ac:dyDescent="0.3"/>
    <row r="411" s="88" customFormat="1" ht="15.75" customHeight="1" x14ac:dyDescent="0.3"/>
    <row r="412" s="88" customFormat="1" ht="15.75" customHeight="1" x14ac:dyDescent="0.3"/>
    <row r="413" s="88" customFormat="1" ht="15.75" customHeight="1" x14ac:dyDescent="0.3"/>
    <row r="414" s="88" customFormat="1" ht="15.75" customHeight="1" x14ac:dyDescent="0.3"/>
    <row r="415" s="88" customFormat="1" ht="15.75" customHeight="1" x14ac:dyDescent="0.3"/>
    <row r="416" s="88" customFormat="1" ht="15.75" customHeight="1" x14ac:dyDescent="0.3"/>
    <row r="417" s="88" customFormat="1" ht="15.75" customHeight="1" x14ac:dyDescent="0.3"/>
    <row r="418" s="88" customFormat="1" ht="15.75" customHeight="1" x14ac:dyDescent="0.3"/>
    <row r="419" s="88" customFormat="1" ht="15.75" customHeight="1" x14ac:dyDescent="0.3"/>
    <row r="420" s="88" customFormat="1" ht="15.75" customHeight="1" x14ac:dyDescent="0.3"/>
    <row r="421" s="88" customFormat="1" ht="15.75" customHeight="1" x14ac:dyDescent="0.3"/>
    <row r="422" s="88" customFormat="1" ht="15.75" customHeight="1" x14ac:dyDescent="0.3"/>
    <row r="423" s="88" customFormat="1" ht="15.75" customHeight="1" x14ac:dyDescent="0.3"/>
    <row r="424" s="88" customFormat="1" ht="15.75" customHeight="1" x14ac:dyDescent="0.3"/>
    <row r="425" s="88" customFormat="1" ht="15.75" customHeight="1" x14ac:dyDescent="0.3"/>
    <row r="426" s="88" customFormat="1" ht="15.75" customHeight="1" x14ac:dyDescent="0.3"/>
    <row r="427" s="88" customFormat="1" ht="15.75" customHeight="1" x14ac:dyDescent="0.3"/>
    <row r="428" s="88" customFormat="1" ht="15.75" customHeight="1" x14ac:dyDescent="0.3"/>
    <row r="429" s="88" customFormat="1" ht="15.75" customHeight="1" x14ac:dyDescent="0.3"/>
    <row r="430" s="88" customFormat="1" ht="15.75" customHeight="1" x14ac:dyDescent="0.3"/>
    <row r="431" s="88" customFormat="1" ht="15.75" customHeight="1" x14ac:dyDescent="0.3"/>
    <row r="432" s="88" customFormat="1" ht="15.75" customHeight="1" x14ac:dyDescent="0.3"/>
    <row r="433" s="88" customFormat="1" ht="15.75" customHeight="1" x14ac:dyDescent="0.3"/>
    <row r="434" s="88" customFormat="1" ht="15.75" customHeight="1" x14ac:dyDescent="0.3"/>
    <row r="435" s="88" customFormat="1" ht="15.75" customHeight="1" x14ac:dyDescent="0.3"/>
    <row r="436" s="88" customFormat="1" ht="15.75" customHeight="1" x14ac:dyDescent="0.3"/>
    <row r="437" s="88" customFormat="1" ht="15.75" customHeight="1" x14ac:dyDescent="0.3"/>
    <row r="438" s="88" customFormat="1" ht="15.75" customHeight="1" x14ac:dyDescent="0.3"/>
    <row r="439" s="88" customFormat="1" ht="15.75" customHeight="1" x14ac:dyDescent="0.3"/>
    <row r="440" s="88" customFormat="1" ht="15.75" customHeight="1" x14ac:dyDescent="0.3"/>
    <row r="441" s="88" customFormat="1" ht="15.75" customHeight="1" x14ac:dyDescent="0.3"/>
    <row r="442" s="88" customFormat="1" ht="15.75" customHeight="1" x14ac:dyDescent="0.3"/>
    <row r="443" s="88" customFormat="1" ht="15.75" customHeight="1" x14ac:dyDescent="0.3"/>
    <row r="444" s="88" customFormat="1" ht="15.75" customHeight="1" x14ac:dyDescent="0.3"/>
    <row r="445" s="88" customFormat="1" ht="15.75" customHeight="1" x14ac:dyDescent="0.3"/>
    <row r="446" s="88" customFormat="1" ht="15.75" customHeight="1" x14ac:dyDescent="0.3"/>
    <row r="447" s="88" customFormat="1" ht="15.75" customHeight="1" x14ac:dyDescent="0.3"/>
    <row r="448" s="88" customFormat="1" ht="15.75" customHeight="1" x14ac:dyDescent="0.3"/>
    <row r="449" s="88" customFormat="1" ht="15.75" customHeight="1" x14ac:dyDescent="0.3"/>
    <row r="450" s="88" customFormat="1" ht="15.75" customHeight="1" x14ac:dyDescent="0.3"/>
    <row r="451" s="88" customFormat="1" ht="15.75" customHeight="1" x14ac:dyDescent="0.3"/>
    <row r="452" s="88" customFormat="1" ht="15.75" customHeight="1" x14ac:dyDescent="0.3"/>
    <row r="453" s="88" customFormat="1" ht="15.75" customHeight="1" x14ac:dyDescent="0.3"/>
    <row r="454" s="88" customFormat="1" ht="15.75" customHeight="1" x14ac:dyDescent="0.3"/>
    <row r="455" s="88" customFormat="1" ht="15.75" customHeight="1" x14ac:dyDescent="0.3"/>
    <row r="456" s="88" customFormat="1" ht="15.75" customHeight="1" x14ac:dyDescent="0.3"/>
    <row r="457" s="88" customFormat="1" ht="15.75" customHeight="1" x14ac:dyDescent="0.3"/>
    <row r="458" s="88" customFormat="1" ht="15.75" customHeight="1" x14ac:dyDescent="0.3"/>
    <row r="459" s="88" customFormat="1" ht="15.75" customHeight="1" x14ac:dyDescent="0.3"/>
    <row r="460" s="88" customFormat="1" ht="15.75" customHeight="1" x14ac:dyDescent="0.3"/>
    <row r="461" s="88" customFormat="1" ht="15.75" customHeight="1" x14ac:dyDescent="0.3"/>
    <row r="462" s="88" customFormat="1" ht="15.75" customHeight="1" x14ac:dyDescent="0.3"/>
    <row r="463" s="88" customFormat="1" ht="15.75" customHeight="1" x14ac:dyDescent="0.3"/>
    <row r="464" s="88" customFormat="1" ht="15.75" customHeight="1" x14ac:dyDescent="0.3"/>
    <row r="465" s="88" customFormat="1" ht="15.75" customHeight="1" x14ac:dyDescent="0.3"/>
    <row r="466" s="88" customFormat="1" ht="15.75" customHeight="1" x14ac:dyDescent="0.3"/>
    <row r="467" s="88" customFormat="1" ht="15.75" customHeight="1" x14ac:dyDescent="0.3"/>
    <row r="468" s="88" customFormat="1" ht="15.75" customHeight="1" x14ac:dyDescent="0.3"/>
    <row r="469" s="88" customFormat="1" ht="15.75" customHeight="1" x14ac:dyDescent="0.3"/>
    <row r="470" s="88" customFormat="1" ht="15.75" customHeight="1" x14ac:dyDescent="0.3"/>
    <row r="471" s="88" customFormat="1" ht="15.75" customHeight="1" x14ac:dyDescent="0.3"/>
    <row r="472" s="88" customFormat="1" ht="15.75" customHeight="1" x14ac:dyDescent="0.3"/>
    <row r="473" s="88" customFormat="1" ht="15.75" customHeight="1" x14ac:dyDescent="0.3"/>
    <row r="474" s="88" customFormat="1" ht="15.75" customHeight="1" x14ac:dyDescent="0.3"/>
    <row r="475" s="88" customFormat="1" ht="15.75" customHeight="1" x14ac:dyDescent="0.3"/>
    <row r="476" s="88" customFormat="1" ht="15.75" customHeight="1" x14ac:dyDescent="0.3"/>
    <row r="477" s="88" customFormat="1" ht="15.75" customHeight="1" x14ac:dyDescent="0.3"/>
    <row r="478" s="88" customFormat="1" ht="15.75" customHeight="1" x14ac:dyDescent="0.3"/>
    <row r="479" s="88" customFormat="1" ht="15.75" customHeight="1" x14ac:dyDescent="0.3"/>
    <row r="480" s="88" customFormat="1" ht="15.75" customHeight="1" x14ac:dyDescent="0.3"/>
    <row r="481" s="88" customFormat="1" ht="15.75" customHeight="1" x14ac:dyDescent="0.3"/>
    <row r="482" s="88" customFormat="1" ht="15.75" customHeight="1" x14ac:dyDescent="0.3"/>
    <row r="483" s="88" customFormat="1" ht="15.75" customHeight="1" x14ac:dyDescent="0.3"/>
    <row r="484" s="88" customFormat="1" ht="15.75" customHeight="1" x14ac:dyDescent="0.3"/>
    <row r="485" s="88" customFormat="1" ht="15.75" customHeight="1" x14ac:dyDescent="0.3"/>
    <row r="486" s="88" customFormat="1" ht="15.75" customHeight="1" x14ac:dyDescent="0.3"/>
    <row r="487" s="88" customFormat="1" ht="15.75" customHeight="1" x14ac:dyDescent="0.3"/>
    <row r="488" s="88" customFormat="1" ht="15.75" customHeight="1" x14ac:dyDescent="0.3"/>
    <row r="489" s="88" customFormat="1" ht="15.75" customHeight="1" x14ac:dyDescent="0.3"/>
    <row r="490" s="88" customFormat="1" ht="15.75" customHeight="1" x14ac:dyDescent="0.3"/>
    <row r="491" s="88" customFormat="1" ht="15.75" customHeight="1" x14ac:dyDescent="0.3"/>
    <row r="492" s="88" customFormat="1" ht="15.75" customHeight="1" x14ac:dyDescent="0.3"/>
    <row r="493" s="88" customFormat="1" ht="15.75" customHeight="1" x14ac:dyDescent="0.3"/>
    <row r="494" s="88" customFormat="1" ht="15.75" customHeight="1" x14ac:dyDescent="0.3"/>
    <row r="495" s="88" customFormat="1" ht="15.75" customHeight="1" x14ac:dyDescent="0.3"/>
    <row r="496" s="88" customFormat="1" ht="15.75" customHeight="1" x14ac:dyDescent="0.3"/>
    <row r="497" s="88" customFormat="1" ht="15.75" customHeight="1" x14ac:dyDescent="0.3"/>
    <row r="498" s="88" customFormat="1" ht="15.75" customHeight="1" x14ac:dyDescent="0.3"/>
    <row r="499" s="88" customFormat="1" ht="15.75" customHeight="1" x14ac:dyDescent="0.3"/>
    <row r="500" s="88" customFormat="1" ht="15.75" customHeight="1" x14ac:dyDescent="0.3"/>
    <row r="501" s="88" customFormat="1" ht="15.75" customHeight="1" x14ac:dyDescent="0.3"/>
    <row r="502" s="88" customFormat="1" ht="15.75" customHeight="1" x14ac:dyDescent="0.3"/>
    <row r="503" s="88" customFormat="1" ht="15.75" customHeight="1" x14ac:dyDescent="0.3"/>
    <row r="504" s="88" customFormat="1" ht="15.75" customHeight="1" x14ac:dyDescent="0.3"/>
    <row r="505" s="88" customFormat="1" ht="15.75" customHeight="1" x14ac:dyDescent="0.3"/>
    <row r="506" s="88" customFormat="1" ht="15.75" customHeight="1" x14ac:dyDescent="0.3"/>
    <row r="507" s="88" customFormat="1" ht="15.75" customHeight="1" x14ac:dyDescent="0.3"/>
    <row r="508" s="88" customFormat="1" ht="15.75" customHeight="1" x14ac:dyDescent="0.3"/>
    <row r="509" s="88" customFormat="1" ht="15.75" customHeight="1" x14ac:dyDescent="0.3"/>
    <row r="510" s="88" customFormat="1" ht="15.75" customHeight="1" x14ac:dyDescent="0.3"/>
    <row r="511" s="88" customFormat="1" ht="15.75" customHeight="1" x14ac:dyDescent="0.3"/>
    <row r="512" s="88" customFormat="1" ht="15.75" customHeight="1" x14ac:dyDescent="0.3"/>
    <row r="513" s="88" customFormat="1" ht="15.75" customHeight="1" x14ac:dyDescent="0.3"/>
    <row r="514" s="88" customFormat="1" ht="15.75" customHeight="1" x14ac:dyDescent="0.3"/>
    <row r="515" s="88" customFormat="1" ht="15.75" customHeight="1" x14ac:dyDescent="0.3"/>
    <row r="516" s="88" customFormat="1" ht="15.75" customHeight="1" x14ac:dyDescent="0.3"/>
    <row r="517" s="88" customFormat="1" ht="15.75" customHeight="1" x14ac:dyDescent="0.3"/>
    <row r="518" s="88" customFormat="1" ht="15.75" customHeight="1" x14ac:dyDescent="0.3"/>
    <row r="519" s="88" customFormat="1" ht="15.75" customHeight="1" x14ac:dyDescent="0.3"/>
    <row r="520" s="88" customFormat="1" ht="15.75" customHeight="1" x14ac:dyDescent="0.3"/>
    <row r="521" s="88" customFormat="1" ht="15.75" customHeight="1" x14ac:dyDescent="0.3"/>
    <row r="522" s="88" customFormat="1" ht="15.75" customHeight="1" x14ac:dyDescent="0.3"/>
    <row r="523" s="88" customFormat="1" ht="15.75" customHeight="1" x14ac:dyDescent="0.3"/>
    <row r="524" s="88" customFormat="1" ht="15.75" customHeight="1" x14ac:dyDescent="0.3"/>
    <row r="525" s="88" customFormat="1" ht="15.75" customHeight="1" x14ac:dyDescent="0.3"/>
    <row r="526" s="88" customFormat="1" ht="15.75" customHeight="1" x14ac:dyDescent="0.3"/>
    <row r="527" s="88" customFormat="1" ht="15.75" customHeight="1" x14ac:dyDescent="0.3"/>
    <row r="528" s="88" customFormat="1" ht="15.75" customHeight="1" x14ac:dyDescent="0.3"/>
    <row r="529" s="88" customFormat="1" ht="15.75" customHeight="1" x14ac:dyDescent="0.3"/>
    <row r="530" s="88" customFormat="1" ht="15.75" customHeight="1" x14ac:dyDescent="0.3"/>
    <row r="531" s="88" customFormat="1" ht="15.75" customHeight="1" x14ac:dyDescent="0.3"/>
    <row r="532" s="88" customFormat="1" ht="15.75" customHeight="1" x14ac:dyDescent="0.3"/>
    <row r="533" s="88" customFormat="1" ht="15.75" customHeight="1" x14ac:dyDescent="0.3"/>
    <row r="534" s="88" customFormat="1" ht="15.75" customHeight="1" x14ac:dyDescent="0.3"/>
    <row r="535" s="88" customFormat="1" ht="15.75" customHeight="1" x14ac:dyDescent="0.3"/>
    <row r="536" s="88" customFormat="1" ht="15.75" customHeight="1" x14ac:dyDescent="0.3"/>
    <row r="537" s="88" customFormat="1" ht="15.75" customHeight="1" x14ac:dyDescent="0.3"/>
    <row r="538" s="88" customFormat="1" ht="15.75" customHeight="1" x14ac:dyDescent="0.3"/>
    <row r="539" s="88" customFormat="1" ht="15.75" customHeight="1" x14ac:dyDescent="0.3"/>
    <row r="540" s="88" customFormat="1" ht="15.75" customHeight="1" x14ac:dyDescent="0.3"/>
    <row r="541" s="88" customFormat="1" ht="15.75" customHeight="1" x14ac:dyDescent="0.3"/>
    <row r="542" s="88" customFormat="1" ht="15.75" customHeight="1" x14ac:dyDescent="0.3"/>
    <row r="543" s="88" customFormat="1" ht="15.75" customHeight="1" x14ac:dyDescent="0.3"/>
    <row r="544" s="88" customFormat="1" ht="15.75" customHeight="1" x14ac:dyDescent="0.3"/>
    <row r="545" s="88" customFormat="1" ht="15.75" customHeight="1" x14ac:dyDescent="0.3"/>
    <row r="546" s="88" customFormat="1" ht="15.75" customHeight="1" x14ac:dyDescent="0.3"/>
    <row r="547" s="88" customFormat="1" ht="15.75" customHeight="1" x14ac:dyDescent="0.3"/>
    <row r="548" s="88" customFormat="1" ht="15.75" customHeight="1" x14ac:dyDescent="0.3"/>
    <row r="549" s="88" customFormat="1" ht="15.75" customHeight="1" x14ac:dyDescent="0.3"/>
    <row r="550" s="88" customFormat="1" ht="15.75" customHeight="1" x14ac:dyDescent="0.3"/>
    <row r="551" s="88" customFormat="1" ht="15.75" customHeight="1" x14ac:dyDescent="0.3"/>
    <row r="552" s="88" customFormat="1" ht="15.75" customHeight="1" x14ac:dyDescent="0.3"/>
    <row r="553" s="88" customFormat="1" ht="15.75" customHeight="1" x14ac:dyDescent="0.3"/>
    <row r="554" s="88" customFormat="1" ht="15.75" customHeight="1" x14ac:dyDescent="0.3"/>
    <row r="555" s="88" customFormat="1" ht="15.75" customHeight="1" x14ac:dyDescent="0.3"/>
    <row r="556" s="88" customFormat="1" ht="15.75" customHeight="1" x14ac:dyDescent="0.3"/>
    <row r="557" s="88" customFormat="1" ht="15.75" customHeight="1" x14ac:dyDescent="0.3"/>
    <row r="558" s="88" customFormat="1" ht="15.75" customHeight="1" x14ac:dyDescent="0.3"/>
    <row r="559" s="88" customFormat="1" ht="15.75" customHeight="1" x14ac:dyDescent="0.3"/>
    <row r="560" s="88" customFormat="1" ht="15.75" customHeight="1" x14ac:dyDescent="0.3"/>
    <row r="561" s="88" customFormat="1" ht="15.75" customHeight="1" x14ac:dyDescent="0.3"/>
    <row r="562" s="88" customFormat="1" ht="15.75" customHeight="1" x14ac:dyDescent="0.3"/>
    <row r="563" s="88" customFormat="1" ht="15.75" customHeight="1" x14ac:dyDescent="0.3"/>
    <row r="564" s="88" customFormat="1" ht="15.75" customHeight="1" x14ac:dyDescent="0.3"/>
    <row r="565" s="88" customFormat="1" ht="15.75" customHeight="1" x14ac:dyDescent="0.3"/>
    <row r="566" s="88" customFormat="1" ht="15.75" customHeight="1" x14ac:dyDescent="0.3"/>
    <row r="567" s="88" customFormat="1" ht="15.75" customHeight="1" x14ac:dyDescent="0.3"/>
    <row r="568" s="88" customFormat="1" ht="15.75" customHeight="1" x14ac:dyDescent="0.3"/>
    <row r="569" s="88" customFormat="1" ht="15.75" customHeight="1" x14ac:dyDescent="0.3"/>
    <row r="570" s="88" customFormat="1" ht="15.75" customHeight="1" x14ac:dyDescent="0.3"/>
    <row r="571" s="88" customFormat="1" ht="15.75" customHeight="1" x14ac:dyDescent="0.3"/>
    <row r="572" s="88" customFormat="1" ht="15.75" customHeight="1" x14ac:dyDescent="0.3"/>
    <row r="573" s="88" customFormat="1" ht="15.75" customHeight="1" x14ac:dyDescent="0.3"/>
    <row r="574" s="88" customFormat="1" ht="15.75" customHeight="1" x14ac:dyDescent="0.3"/>
    <row r="575" s="88" customFormat="1" ht="15.75" customHeight="1" x14ac:dyDescent="0.3"/>
    <row r="576" s="88" customFormat="1" ht="15.75" customHeight="1" x14ac:dyDescent="0.3"/>
    <row r="577" s="88" customFormat="1" ht="15.75" customHeight="1" x14ac:dyDescent="0.3"/>
    <row r="578" s="88" customFormat="1" ht="15.75" customHeight="1" x14ac:dyDescent="0.3"/>
    <row r="579" s="88" customFormat="1" ht="15.75" customHeight="1" x14ac:dyDescent="0.3"/>
    <row r="580" s="88" customFormat="1" ht="15.75" customHeight="1" x14ac:dyDescent="0.3"/>
    <row r="581" s="88" customFormat="1" ht="15.75" customHeight="1" x14ac:dyDescent="0.3"/>
    <row r="582" s="88" customFormat="1" ht="15.75" customHeight="1" x14ac:dyDescent="0.3"/>
    <row r="583" s="88" customFormat="1" ht="15.75" customHeight="1" x14ac:dyDescent="0.3"/>
    <row r="584" s="88" customFormat="1" ht="15.75" customHeight="1" x14ac:dyDescent="0.3"/>
    <row r="585" s="88" customFormat="1" ht="15.75" customHeight="1" x14ac:dyDescent="0.3"/>
    <row r="586" s="88" customFormat="1" ht="15.75" customHeight="1" x14ac:dyDescent="0.3"/>
    <row r="587" s="88" customFormat="1" ht="15.75" customHeight="1" x14ac:dyDescent="0.3"/>
    <row r="588" s="88" customFormat="1" ht="15.75" customHeight="1" x14ac:dyDescent="0.3"/>
    <row r="589" s="88" customFormat="1" ht="15.75" customHeight="1" x14ac:dyDescent="0.3"/>
    <row r="590" s="88" customFormat="1" ht="15.75" customHeight="1" x14ac:dyDescent="0.3"/>
    <row r="591" s="88" customFormat="1" ht="15.75" customHeight="1" x14ac:dyDescent="0.3"/>
    <row r="592" s="88" customFormat="1" ht="15.75" customHeight="1" x14ac:dyDescent="0.3"/>
    <row r="593" s="88" customFormat="1" ht="15.75" customHeight="1" x14ac:dyDescent="0.3"/>
    <row r="594" s="88" customFormat="1" ht="15.75" customHeight="1" x14ac:dyDescent="0.3"/>
    <row r="595" s="88" customFormat="1" ht="15.75" customHeight="1" x14ac:dyDescent="0.3"/>
    <row r="596" s="88" customFormat="1" ht="15.75" customHeight="1" x14ac:dyDescent="0.3"/>
    <row r="597" s="88" customFormat="1" ht="15.75" customHeight="1" x14ac:dyDescent="0.3"/>
    <row r="598" s="88" customFormat="1" ht="15.75" customHeight="1" x14ac:dyDescent="0.3"/>
    <row r="599" s="88" customFormat="1" ht="15.75" customHeight="1" x14ac:dyDescent="0.3"/>
    <row r="600" s="88" customFormat="1" ht="15.75" customHeight="1" x14ac:dyDescent="0.3"/>
    <row r="601" s="88" customFormat="1" ht="15.75" customHeight="1" x14ac:dyDescent="0.3"/>
    <row r="602" s="88" customFormat="1" ht="15.75" customHeight="1" x14ac:dyDescent="0.3"/>
    <row r="603" s="88" customFormat="1" ht="15.75" customHeight="1" x14ac:dyDescent="0.3"/>
    <row r="604" s="88" customFormat="1" ht="15.75" customHeight="1" x14ac:dyDescent="0.3"/>
    <row r="605" s="88" customFormat="1" ht="15.75" customHeight="1" x14ac:dyDescent="0.3"/>
    <row r="606" s="88" customFormat="1" ht="15.75" customHeight="1" x14ac:dyDescent="0.3"/>
    <row r="607" s="88" customFormat="1" ht="15.75" customHeight="1" x14ac:dyDescent="0.3"/>
    <row r="608" s="88" customFormat="1" ht="15.75" customHeight="1" x14ac:dyDescent="0.3"/>
    <row r="609" s="88" customFormat="1" ht="15.75" customHeight="1" x14ac:dyDescent="0.3"/>
    <row r="610" s="88" customFormat="1" ht="15.75" customHeight="1" x14ac:dyDescent="0.3"/>
    <row r="611" s="88" customFormat="1" ht="15.75" customHeight="1" x14ac:dyDescent="0.3"/>
    <row r="612" s="88" customFormat="1" ht="15.75" customHeight="1" x14ac:dyDescent="0.3"/>
    <row r="613" s="88" customFormat="1" ht="15.75" customHeight="1" x14ac:dyDescent="0.3"/>
    <row r="614" s="88" customFormat="1" ht="15.75" customHeight="1" x14ac:dyDescent="0.3"/>
    <row r="615" s="88" customFormat="1" ht="15.75" customHeight="1" x14ac:dyDescent="0.3"/>
    <row r="616" s="88" customFormat="1" ht="15.75" customHeight="1" x14ac:dyDescent="0.3"/>
    <row r="617" s="88" customFormat="1" ht="15.75" customHeight="1" x14ac:dyDescent="0.3"/>
    <row r="618" s="88" customFormat="1" ht="15.75" customHeight="1" x14ac:dyDescent="0.3"/>
    <row r="619" s="88" customFormat="1" ht="15.75" customHeight="1" x14ac:dyDescent="0.3"/>
    <row r="620" s="88" customFormat="1" ht="15.75" customHeight="1" x14ac:dyDescent="0.3"/>
    <row r="621" s="88" customFormat="1" ht="15.75" customHeight="1" x14ac:dyDescent="0.3"/>
    <row r="622" s="88" customFormat="1" ht="15.75" customHeight="1" x14ac:dyDescent="0.3"/>
    <row r="623" s="88" customFormat="1" ht="15.75" customHeight="1" x14ac:dyDescent="0.3"/>
    <row r="624" s="88" customFormat="1" ht="15.75" customHeight="1" x14ac:dyDescent="0.3"/>
    <row r="625" s="88" customFormat="1" ht="15.75" customHeight="1" x14ac:dyDescent="0.3"/>
    <row r="626" s="88" customFormat="1" ht="15.75" customHeight="1" x14ac:dyDescent="0.3"/>
    <row r="627" s="88" customFormat="1" ht="15.75" customHeight="1" x14ac:dyDescent="0.3"/>
    <row r="628" s="88" customFormat="1" ht="15.75" customHeight="1" x14ac:dyDescent="0.3"/>
    <row r="629" s="88" customFormat="1" ht="15.75" customHeight="1" x14ac:dyDescent="0.3"/>
    <row r="630" s="88" customFormat="1" ht="15.75" customHeight="1" x14ac:dyDescent="0.3"/>
    <row r="631" s="88" customFormat="1" ht="15.75" customHeight="1" x14ac:dyDescent="0.3"/>
    <row r="632" s="88" customFormat="1" ht="15.75" customHeight="1" x14ac:dyDescent="0.3"/>
    <row r="633" s="88" customFormat="1" ht="15.75" customHeight="1" x14ac:dyDescent="0.3"/>
    <row r="634" s="88" customFormat="1" ht="15.75" customHeight="1" x14ac:dyDescent="0.3"/>
    <row r="635" s="88" customFormat="1" ht="15.75" customHeight="1" x14ac:dyDescent="0.3"/>
    <row r="636" s="88" customFormat="1" ht="15.75" customHeight="1" x14ac:dyDescent="0.3"/>
    <row r="637" s="88" customFormat="1" ht="15.75" customHeight="1" x14ac:dyDescent="0.3"/>
    <row r="638" s="88" customFormat="1" ht="15.75" customHeight="1" x14ac:dyDescent="0.3"/>
    <row r="639" s="88" customFormat="1" ht="15.75" customHeight="1" x14ac:dyDescent="0.3"/>
    <row r="640" s="88" customFormat="1" ht="15.75" customHeight="1" x14ac:dyDescent="0.3"/>
    <row r="641" s="88" customFormat="1" ht="15.75" customHeight="1" x14ac:dyDescent="0.3"/>
    <row r="642" s="88" customFormat="1" ht="15.75" customHeight="1" x14ac:dyDescent="0.3"/>
    <row r="643" s="88" customFormat="1" ht="15.75" customHeight="1" x14ac:dyDescent="0.3"/>
    <row r="644" s="88" customFormat="1" ht="15.75" customHeight="1" x14ac:dyDescent="0.3"/>
    <row r="645" s="88" customFormat="1" ht="15.75" customHeight="1" x14ac:dyDescent="0.3"/>
    <row r="646" s="88" customFormat="1" ht="15.75" customHeight="1" x14ac:dyDescent="0.3"/>
    <row r="647" s="88" customFormat="1" ht="15.75" customHeight="1" x14ac:dyDescent="0.3"/>
    <row r="648" s="88" customFormat="1" ht="15.75" customHeight="1" x14ac:dyDescent="0.3"/>
    <row r="649" s="88" customFormat="1" ht="15.75" customHeight="1" x14ac:dyDescent="0.3"/>
    <row r="650" s="88" customFormat="1" ht="15.75" customHeight="1" x14ac:dyDescent="0.3"/>
    <row r="651" s="88" customFormat="1" ht="15.75" customHeight="1" x14ac:dyDescent="0.3"/>
    <row r="652" s="88" customFormat="1" ht="15.75" customHeight="1" x14ac:dyDescent="0.3"/>
    <row r="653" s="88" customFormat="1" ht="15.75" customHeight="1" x14ac:dyDescent="0.3"/>
    <row r="654" s="88" customFormat="1" ht="15.75" customHeight="1" x14ac:dyDescent="0.3"/>
    <row r="655" s="88" customFormat="1" ht="15.75" customHeight="1" x14ac:dyDescent="0.3"/>
    <row r="656" s="88" customFormat="1" ht="15.75" customHeight="1" x14ac:dyDescent="0.3"/>
    <row r="657" s="88" customFormat="1" ht="15.75" customHeight="1" x14ac:dyDescent="0.3"/>
    <row r="658" s="88" customFormat="1" ht="15.75" customHeight="1" x14ac:dyDescent="0.3"/>
    <row r="659" s="88" customFormat="1" ht="15.75" customHeight="1" x14ac:dyDescent="0.3"/>
    <row r="660" s="88" customFormat="1" ht="15.75" customHeight="1" x14ac:dyDescent="0.3"/>
    <row r="661" s="88" customFormat="1" ht="15.75" customHeight="1" x14ac:dyDescent="0.3"/>
    <row r="662" s="88" customFormat="1" ht="15.75" customHeight="1" x14ac:dyDescent="0.3"/>
    <row r="663" s="88" customFormat="1" ht="15.75" customHeight="1" x14ac:dyDescent="0.3"/>
    <row r="664" s="88" customFormat="1" ht="15.75" customHeight="1" x14ac:dyDescent="0.3"/>
    <row r="665" s="88" customFormat="1" ht="15.75" customHeight="1" x14ac:dyDescent="0.3"/>
    <row r="666" s="88" customFormat="1" ht="15.75" customHeight="1" x14ac:dyDescent="0.3"/>
    <row r="667" s="88" customFormat="1" ht="15.75" customHeight="1" x14ac:dyDescent="0.3"/>
    <row r="668" s="88" customFormat="1" ht="15.75" customHeight="1" x14ac:dyDescent="0.3"/>
    <row r="669" s="88" customFormat="1" ht="15.75" customHeight="1" x14ac:dyDescent="0.3"/>
    <row r="670" s="88" customFormat="1" ht="15.75" customHeight="1" x14ac:dyDescent="0.3"/>
    <row r="671" s="88" customFormat="1" ht="15.75" customHeight="1" x14ac:dyDescent="0.3"/>
    <row r="672" s="88" customFormat="1" ht="15.75" customHeight="1" x14ac:dyDescent="0.3"/>
    <row r="673" s="88" customFormat="1" ht="15.75" customHeight="1" x14ac:dyDescent="0.3"/>
    <row r="674" s="88" customFormat="1" ht="15.75" customHeight="1" x14ac:dyDescent="0.3"/>
    <row r="675" s="88" customFormat="1" ht="15.75" customHeight="1" x14ac:dyDescent="0.3"/>
    <row r="676" s="88" customFormat="1" ht="15.75" customHeight="1" x14ac:dyDescent="0.3"/>
    <row r="677" s="88" customFormat="1" ht="15.75" customHeight="1" x14ac:dyDescent="0.3"/>
    <row r="678" s="88" customFormat="1" ht="15.75" customHeight="1" x14ac:dyDescent="0.3"/>
    <row r="679" s="88" customFormat="1" ht="15.75" customHeight="1" x14ac:dyDescent="0.3"/>
    <row r="680" s="88" customFormat="1" ht="15.75" customHeight="1" x14ac:dyDescent="0.3"/>
    <row r="681" s="88" customFormat="1" ht="15.75" customHeight="1" x14ac:dyDescent="0.3"/>
    <row r="682" s="88" customFormat="1" ht="15.75" customHeight="1" x14ac:dyDescent="0.3"/>
    <row r="683" s="88" customFormat="1" ht="15.75" customHeight="1" x14ac:dyDescent="0.3"/>
    <row r="684" s="88" customFormat="1" ht="15.75" customHeight="1" x14ac:dyDescent="0.3"/>
    <row r="685" s="88" customFormat="1" ht="15.75" customHeight="1" x14ac:dyDescent="0.3"/>
    <row r="686" s="88" customFormat="1" ht="15.75" customHeight="1" x14ac:dyDescent="0.3"/>
    <row r="687" s="88" customFormat="1" ht="15.75" customHeight="1" x14ac:dyDescent="0.3"/>
    <row r="688" s="88" customFormat="1" ht="15.75" customHeight="1" x14ac:dyDescent="0.3"/>
    <row r="689" s="88" customFormat="1" ht="15.75" customHeight="1" x14ac:dyDescent="0.3"/>
    <row r="690" s="88" customFormat="1" ht="15.75" customHeight="1" x14ac:dyDescent="0.3"/>
    <row r="691" s="88" customFormat="1" ht="15.75" customHeight="1" x14ac:dyDescent="0.3"/>
    <row r="692" s="88" customFormat="1" ht="15.75" customHeight="1" x14ac:dyDescent="0.3"/>
    <row r="693" s="88" customFormat="1" ht="15.75" customHeight="1" x14ac:dyDescent="0.3"/>
    <row r="694" s="88" customFormat="1" ht="15.75" customHeight="1" x14ac:dyDescent="0.3"/>
    <row r="695" s="88" customFormat="1" ht="15.75" customHeight="1" x14ac:dyDescent="0.3"/>
    <row r="696" s="88" customFormat="1" ht="15.75" customHeight="1" x14ac:dyDescent="0.3"/>
    <row r="697" s="88" customFormat="1" ht="15.75" customHeight="1" x14ac:dyDescent="0.3"/>
    <row r="698" s="88" customFormat="1" ht="15.75" customHeight="1" x14ac:dyDescent="0.3"/>
    <row r="699" s="88" customFormat="1" ht="15.75" customHeight="1" x14ac:dyDescent="0.3"/>
    <row r="700" s="88" customFormat="1" ht="15.75" customHeight="1" x14ac:dyDescent="0.3"/>
    <row r="701" s="88" customFormat="1" ht="15.75" customHeight="1" x14ac:dyDescent="0.3"/>
    <row r="702" s="88" customFormat="1" ht="15.75" customHeight="1" x14ac:dyDescent="0.3"/>
    <row r="703" s="88" customFormat="1" ht="15.75" customHeight="1" x14ac:dyDescent="0.3"/>
    <row r="704" s="88" customFormat="1" ht="15.75" customHeight="1" x14ac:dyDescent="0.3"/>
    <row r="705" s="88" customFormat="1" ht="15.75" customHeight="1" x14ac:dyDescent="0.3"/>
    <row r="706" s="88" customFormat="1" ht="15.75" customHeight="1" x14ac:dyDescent="0.3"/>
    <row r="707" s="88" customFormat="1" ht="15.75" customHeight="1" x14ac:dyDescent="0.3"/>
    <row r="708" s="88" customFormat="1" ht="15.75" customHeight="1" x14ac:dyDescent="0.3"/>
    <row r="709" s="88" customFormat="1" ht="15.75" customHeight="1" x14ac:dyDescent="0.3"/>
    <row r="710" s="88" customFormat="1" ht="15.75" customHeight="1" x14ac:dyDescent="0.3"/>
    <row r="711" s="88" customFormat="1" ht="15.75" customHeight="1" x14ac:dyDescent="0.3"/>
    <row r="712" s="88" customFormat="1" ht="15.75" customHeight="1" x14ac:dyDescent="0.3"/>
    <row r="713" s="88" customFormat="1" ht="15.75" customHeight="1" x14ac:dyDescent="0.3"/>
    <row r="714" s="88" customFormat="1" ht="15.75" customHeight="1" x14ac:dyDescent="0.3"/>
    <row r="715" s="88" customFormat="1" ht="15.75" customHeight="1" x14ac:dyDescent="0.3"/>
    <row r="716" s="88" customFormat="1" ht="15.75" customHeight="1" x14ac:dyDescent="0.3"/>
    <row r="717" s="88" customFormat="1" ht="15.75" customHeight="1" x14ac:dyDescent="0.3"/>
    <row r="718" s="88" customFormat="1" ht="15.75" customHeight="1" x14ac:dyDescent="0.3"/>
    <row r="719" s="88" customFormat="1" ht="15.75" customHeight="1" x14ac:dyDescent="0.3"/>
    <row r="720" s="88" customFormat="1" ht="15.75" customHeight="1" x14ac:dyDescent="0.3"/>
    <row r="721" s="88" customFormat="1" ht="15.75" customHeight="1" x14ac:dyDescent="0.3"/>
    <row r="722" s="88" customFormat="1" ht="15.75" customHeight="1" x14ac:dyDescent="0.3"/>
    <row r="723" s="88" customFormat="1" ht="15.75" customHeight="1" x14ac:dyDescent="0.3"/>
    <row r="724" s="88" customFormat="1" ht="15.75" customHeight="1" x14ac:dyDescent="0.3"/>
    <row r="725" s="88" customFormat="1" ht="15.75" customHeight="1" x14ac:dyDescent="0.3"/>
    <row r="726" s="88" customFormat="1" ht="15.75" customHeight="1" x14ac:dyDescent="0.3"/>
    <row r="727" s="88" customFormat="1" ht="15.75" customHeight="1" x14ac:dyDescent="0.3"/>
    <row r="728" s="88" customFormat="1" ht="15.75" customHeight="1" x14ac:dyDescent="0.3"/>
    <row r="729" s="88" customFormat="1" ht="15.75" customHeight="1" x14ac:dyDescent="0.3"/>
    <row r="730" s="88" customFormat="1" ht="15.75" customHeight="1" x14ac:dyDescent="0.3"/>
    <row r="731" s="88" customFormat="1" ht="15.75" customHeight="1" x14ac:dyDescent="0.3"/>
    <row r="732" s="88" customFormat="1" ht="15.75" customHeight="1" x14ac:dyDescent="0.3"/>
    <row r="733" s="88" customFormat="1" ht="15.75" customHeight="1" x14ac:dyDescent="0.3"/>
    <row r="734" s="88" customFormat="1" ht="15.75" customHeight="1" x14ac:dyDescent="0.3"/>
    <row r="735" s="88" customFormat="1" ht="15.75" customHeight="1" x14ac:dyDescent="0.3"/>
    <row r="736" s="88" customFormat="1" ht="15.75" customHeight="1" x14ac:dyDescent="0.3"/>
    <row r="737" s="88" customFormat="1" ht="15.75" customHeight="1" x14ac:dyDescent="0.3"/>
    <row r="738" s="88" customFormat="1" ht="15.75" customHeight="1" x14ac:dyDescent="0.3"/>
    <row r="739" s="88" customFormat="1" ht="15.75" customHeight="1" x14ac:dyDescent="0.3"/>
    <row r="740" s="88" customFormat="1" ht="15.75" customHeight="1" x14ac:dyDescent="0.3"/>
    <row r="741" s="88" customFormat="1" ht="15.75" customHeight="1" x14ac:dyDescent="0.3"/>
    <row r="742" s="88" customFormat="1" ht="15.75" customHeight="1" x14ac:dyDescent="0.3"/>
    <row r="743" s="88" customFormat="1" ht="15.75" customHeight="1" x14ac:dyDescent="0.3"/>
    <row r="744" s="88" customFormat="1" ht="15.75" customHeight="1" x14ac:dyDescent="0.3"/>
    <row r="745" s="88" customFormat="1" ht="15.75" customHeight="1" x14ac:dyDescent="0.3"/>
    <row r="746" s="88" customFormat="1" ht="15.75" customHeight="1" x14ac:dyDescent="0.3"/>
    <row r="747" s="88" customFormat="1" ht="15.75" customHeight="1" x14ac:dyDescent="0.3"/>
    <row r="748" s="88" customFormat="1" ht="15.75" customHeight="1" x14ac:dyDescent="0.3"/>
    <row r="749" s="88" customFormat="1" ht="15.75" customHeight="1" x14ac:dyDescent="0.3"/>
    <row r="750" s="88" customFormat="1" ht="15.75" customHeight="1" x14ac:dyDescent="0.3"/>
    <row r="751" s="88" customFormat="1" ht="15.75" customHeight="1" x14ac:dyDescent="0.3"/>
    <row r="752" s="88" customFormat="1" ht="15.75" customHeight="1" x14ac:dyDescent="0.3"/>
    <row r="753" s="88" customFormat="1" ht="15.75" customHeight="1" x14ac:dyDescent="0.3"/>
    <row r="754" s="88" customFormat="1" ht="15.75" customHeight="1" x14ac:dyDescent="0.3"/>
    <row r="755" s="88" customFormat="1" ht="15.75" customHeight="1" x14ac:dyDescent="0.3"/>
    <row r="756" s="88" customFormat="1" ht="15.75" customHeight="1" x14ac:dyDescent="0.3"/>
    <row r="757" s="88" customFormat="1" ht="15.75" customHeight="1" x14ac:dyDescent="0.3"/>
    <row r="758" s="88" customFormat="1" ht="15.75" customHeight="1" x14ac:dyDescent="0.3"/>
    <row r="759" s="88" customFormat="1" ht="15.75" customHeight="1" x14ac:dyDescent="0.3"/>
    <row r="760" s="88" customFormat="1" ht="15.75" customHeight="1" x14ac:dyDescent="0.3"/>
    <row r="761" s="88" customFormat="1" ht="15.75" customHeight="1" x14ac:dyDescent="0.3"/>
    <row r="762" s="88" customFormat="1" ht="15.75" customHeight="1" x14ac:dyDescent="0.3"/>
    <row r="763" s="88" customFormat="1" ht="15.75" customHeight="1" x14ac:dyDescent="0.3"/>
    <row r="764" s="88" customFormat="1" ht="15.75" customHeight="1" x14ac:dyDescent="0.3"/>
    <row r="765" s="88" customFormat="1" ht="15.75" customHeight="1" x14ac:dyDescent="0.3"/>
    <row r="766" s="88" customFormat="1" ht="15.75" customHeight="1" x14ac:dyDescent="0.3"/>
    <row r="767" s="88" customFormat="1" ht="15.75" customHeight="1" x14ac:dyDescent="0.3"/>
    <row r="768" s="88" customFormat="1" ht="15.75" customHeight="1" x14ac:dyDescent="0.3"/>
    <row r="769" s="88" customFormat="1" ht="15.75" customHeight="1" x14ac:dyDescent="0.3"/>
    <row r="770" s="88" customFormat="1" ht="15.75" customHeight="1" x14ac:dyDescent="0.3"/>
    <row r="771" s="88" customFormat="1" ht="15.75" customHeight="1" x14ac:dyDescent="0.3"/>
    <row r="772" s="88" customFormat="1" ht="15.75" customHeight="1" x14ac:dyDescent="0.3"/>
    <row r="773" s="88" customFormat="1" ht="15.75" customHeight="1" x14ac:dyDescent="0.3"/>
    <row r="774" s="88" customFormat="1" ht="15.75" customHeight="1" x14ac:dyDescent="0.3"/>
    <row r="775" s="88" customFormat="1" ht="15.75" customHeight="1" x14ac:dyDescent="0.3"/>
    <row r="776" s="88" customFormat="1" ht="15.75" customHeight="1" x14ac:dyDescent="0.3"/>
    <row r="777" s="88" customFormat="1" ht="15.75" customHeight="1" x14ac:dyDescent="0.3"/>
    <row r="778" s="88" customFormat="1" ht="15.75" customHeight="1" x14ac:dyDescent="0.3"/>
    <row r="779" s="88" customFormat="1" ht="15.75" customHeight="1" x14ac:dyDescent="0.3"/>
    <row r="780" s="88" customFormat="1" ht="15.75" customHeight="1" x14ac:dyDescent="0.3"/>
    <row r="781" s="88" customFormat="1" ht="15.75" customHeight="1" x14ac:dyDescent="0.3"/>
    <row r="782" s="88" customFormat="1" ht="15.75" customHeight="1" x14ac:dyDescent="0.3"/>
    <row r="783" s="88" customFormat="1" ht="15.75" customHeight="1" x14ac:dyDescent="0.3"/>
    <row r="784" s="88" customFormat="1" ht="15.75" customHeight="1" x14ac:dyDescent="0.3"/>
    <row r="785" s="88" customFormat="1" ht="15.75" customHeight="1" x14ac:dyDescent="0.3"/>
    <row r="786" s="88" customFormat="1" ht="15.75" customHeight="1" x14ac:dyDescent="0.3"/>
    <row r="787" s="88" customFormat="1" ht="15.75" customHeight="1" x14ac:dyDescent="0.3"/>
    <row r="788" s="88" customFormat="1" ht="15.75" customHeight="1" x14ac:dyDescent="0.3"/>
    <row r="789" s="88" customFormat="1" ht="15.75" customHeight="1" x14ac:dyDescent="0.3"/>
    <row r="790" s="88" customFormat="1" ht="15.75" customHeight="1" x14ac:dyDescent="0.3"/>
    <row r="791" s="88" customFormat="1" ht="15.75" customHeight="1" x14ac:dyDescent="0.3"/>
    <row r="792" s="88" customFormat="1" ht="15.75" customHeight="1" x14ac:dyDescent="0.3"/>
    <row r="793" s="88" customFormat="1" ht="15.75" customHeight="1" x14ac:dyDescent="0.3"/>
    <row r="794" s="88" customFormat="1" ht="15.75" customHeight="1" x14ac:dyDescent="0.3"/>
    <row r="795" s="88" customFormat="1" ht="15.75" customHeight="1" x14ac:dyDescent="0.3"/>
    <row r="796" s="88" customFormat="1" ht="15.75" customHeight="1" x14ac:dyDescent="0.3"/>
    <row r="797" s="88" customFormat="1" ht="15.75" customHeight="1" x14ac:dyDescent="0.3"/>
    <row r="798" s="88" customFormat="1" ht="15.75" customHeight="1" x14ac:dyDescent="0.3"/>
    <row r="799" s="88" customFormat="1" ht="15.75" customHeight="1" x14ac:dyDescent="0.3"/>
    <row r="800" s="88" customFormat="1" ht="15.75" customHeight="1" x14ac:dyDescent="0.3"/>
    <row r="801" s="88" customFormat="1" ht="15.75" customHeight="1" x14ac:dyDescent="0.3"/>
    <row r="802" s="88" customFormat="1" ht="15.75" customHeight="1" x14ac:dyDescent="0.3"/>
    <row r="803" s="88" customFormat="1" ht="15.75" customHeight="1" x14ac:dyDescent="0.3"/>
    <row r="804" s="88" customFormat="1" ht="15.75" customHeight="1" x14ac:dyDescent="0.3"/>
    <row r="805" s="88" customFormat="1" ht="15.75" customHeight="1" x14ac:dyDescent="0.3"/>
    <row r="806" s="88" customFormat="1" ht="15.75" customHeight="1" x14ac:dyDescent="0.3"/>
    <row r="807" s="88" customFormat="1" ht="15.75" customHeight="1" x14ac:dyDescent="0.3"/>
    <row r="808" s="88" customFormat="1" ht="15.75" customHeight="1" x14ac:dyDescent="0.3"/>
    <row r="809" s="88" customFormat="1" ht="15.75" customHeight="1" x14ac:dyDescent="0.3"/>
    <row r="810" s="88" customFormat="1" ht="15.75" customHeight="1" x14ac:dyDescent="0.3"/>
    <row r="811" s="88" customFormat="1" ht="15.75" customHeight="1" x14ac:dyDescent="0.3"/>
    <row r="812" s="88" customFormat="1" ht="15.75" customHeight="1" x14ac:dyDescent="0.3"/>
    <row r="813" s="88" customFormat="1" ht="15.75" customHeight="1" x14ac:dyDescent="0.3"/>
    <row r="814" s="88" customFormat="1" ht="15.75" customHeight="1" x14ac:dyDescent="0.3"/>
    <row r="815" s="88" customFormat="1" ht="15.75" customHeight="1" x14ac:dyDescent="0.3"/>
    <row r="816" s="88" customFormat="1" ht="15.75" customHeight="1" x14ac:dyDescent="0.3"/>
    <row r="817" s="88" customFormat="1" ht="15.75" customHeight="1" x14ac:dyDescent="0.3"/>
    <row r="818" s="88" customFormat="1" ht="15.75" customHeight="1" x14ac:dyDescent="0.3"/>
    <row r="819" s="88" customFormat="1" ht="15.75" customHeight="1" x14ac:dyDescent="0.3"/>
    <row r="820" s="88" customFormat="1" ht="15.75" customHeight="1" x14ac:dyDescent="0.3"/>
    <row r="821" s="88" customFormat="1" ht="15.75" customHeight="1" x14ac:dyDescent="0.3"/>
    <row r="822" s="88" customFormat="1" ht="15.75" customHeight="1" x14ac:dyDescent="0.3"/>
    <row r="823" s="88" customFormat="1" ht="15.75" customHeight="1" x14ac:dyDescent="0.3"/>
    <row r="824" s="88" customFormat="1" ht="15.75" customHeight="1" x14ac:dyDescent="0.3"/>
    <row r="825" s="88" customFormat="1" ht="15.75" customHeight="1" x14ac:dyDescent="0.3"/>
    <row r="826" s="88" customFormat="1" ht="15.75" customHeight="1" x14ac:dyDescent="0.3"/>
    <row r="827" s="88" customFormat="1" ht="15.75" customHeight="1" x14ac:dyDescent="0.3"/>
    <row r="828" s="88" customFormat="1" ht="15.75" customHeight="1" x14ac:dyDescent="0.3"/>
    <row r="829" s="88" customFormat="1" ht="15.75" customHeight="1" x14ac:dyDescent="0.3"/>
    <row r="830" s="88" customFormat="1" ht="15.75" customHeight="1" x14ac:dyDescent="0.3"/>
    <row r="831" s="88" customFormat="1" ht="15.75" customHeight="1" x14ac:dyDescent="0.3"/>
    <row r="832" s="88" customFormat="1" ht="15.75" customHeight="1" x14ac:dyDescent="0.3"/>
    <row r="833" s="88" customFormat="1" ht="15.75" customHeight="1" x14ac:dyDescent="0.3"/>
    <row r="834" s="88" customFormat="1" ht="15.75" customHeight="1" x14ac:dyDescent="0.3"/>
    <row r="835" s="88" customFormat="1" ht="15.75" customHeight="1" x14ac:dyDescent="0.3"/>
    <row r="836" s="88" customFormat="1" ht="15.75" customHeight="1" x14ac:dyDescent="0.3"/>
    <row r="837" s="88" customFormat="1" ht="15.75" customHeight="1" x14ac:dyDescent="0.3"/>
    <row r="838" s="88" customFormat="1" ht="15.75" customHeight="1" x14ac:dyDescent="0.3"/>
    <row r="839" s="88" customFormat="1" ht="15.75" customHeight="1" x14ac:dyDescent="0.3"/>
    <row r="840" s="88" customFormat="1" ht="15.75" customHeight="1" x14ac:dyDescent="0.3"/>
    <row r="841" s="88" customFormat="1" ht="15.75" customHeight="1" x14ac:dyDescent="0.3"/>
    <row r="842" s="88" customFormat="1" ht="15.75" customHeight="1" x14ac:dyDescent="0.3"/>
    <row r="843" s="88" customFormat="1" ht="15.75" customHeight="1" x14ac:dyDescent="0.3"/>
    <row r="844" s="88" customFormat="1" ht="15.75" customHeight="1" x14ac:dyDescent="0.3"/>
    <row r="845" s="88" customFormat="1" ht="15.75" customHeight="1" x14ac:dyDescent="0.3"/>
    <row r="846" s="88" customFormat="1" ht="15.75" customHeight="1" x14ac:dyDescent="0.3"/>
    <row r="847" s="88" customFormat="1" ht="15.75" customHeight="1" x14ac:dyDescent="0.3"/>
    <row r="848" s="88" customFormat="1" ht="15.75" customHeight="1" x14ac:dyDescent="0.3"/>
    <row r="849" s="88" customFormat="1" ht="15.75" customHeight="1" x14ac:dyDescent="0.3"/>
    <row r="850" s="88" customFormat="1" ht="15.75" customHeight="1" x14ac:dyDescent="0.3"/>
    <row r="851" s="88" customFormat="1" ht="15.75" customHeight="1" x14ac:dyDescent="0.3"/>
    <row r="852" s="88" customFormat="1" ht="15.75" customHeight="1" x14ac:dyDescent="0.3"/>
    <row r="853" s="88" customFormat="1" ht="15.75" customHeight="1" x14ac:dyDescent="0.3"/>
    <row r="854" s="88" customFormat="1" ht="15.75" customHeight="1" x14ac:dyDescent="0.3"/>
    <row r="855" s="88" customFormat="1" ht="15.75" customHeight="1" x14ac:dyDescent="0.3"/>
    <row r="856" s="88" customFormat="1" ht="15.75" customHeight="1" x14ac:dyDescent="0.3"/>
    <row r="857" s="88" customFormat="1" ht="15.75" customHeight="1" x14ac:dyDescent="0.3"/>
    <row r="858" s="88" customFormat="1" ht="15.75" customHeight="1" x14ac:dyDescent="0.3"/>
    <row r="859" s="88" customFormat="1" ht="15.75" customHeight="1" x14ac:dyDescent="0.3"/>
    <row r="860" s="88" customFormat="1" ht="15.75" customHeight="1" x14ac:dyDescent="0.3"/>
    <row r="861" s="88" customFormat="1" ht="15.75" customHeight="1" x14ac:dyDescent="0.3"/>
    <row r="862" s="88" customFormat="1" ht="15.75" customHeight="1" x14ac:dyDescent="0.3"/>
    <row r="863" s="88" customFormat="1" ht="15.75" customHeight="1" x14ac:dyDescent="0.3"/>
    <row r="864" s="88" customFormat="1" ht="15.75" customHeight="1" x14ac:dyDescent="0.3"/>
    <row r="865" s="88" customFormat="1" ht="15.75" customHeight="1" x14ac:dyDescent="0.3"/>
    <row r="866" s="88" customFormat="1" ht="15.75" customHeight="1" x14ac:dyDescent="0.3"/>
    <row r="867" s="88" customFormat="1" ht="15.75" customHeight="1" x14ac:dyDescent="0.3"/>
    <row r="868" s="88" customFormat="1" ht="15.75" customHeight="1" x14ac:dyDescent="0.3"/>
    <row r="869" s="88" customFormat="1" ht="15.75" customHeight="1" x14ac:dyDescent="0.3"/>
    <row r="870" s="88" customFormat="1" ht="15.75" customHeight="1" x14ac:dyDescent="0.3"/>
    <row r="871" s="88" customFormat="1" ht="15.75" customHeight="1" x14ac:dyDescent="0.3"/>
    <row r="872" s="88" customFormat="1" ht="15.75" customHeight="1" x14ac:dyDescent="0.3"/>
    <row r="873" s="88" customFormat="1" ht="15.75" customHeight="1" x14ac:dyDescent="0.3"/>
    <row r="874" s="88" customFormat="1" ht="15.75" customHeight="1" x14ac:dyDescent="0.3"/>
    <row r="875" s="88" customFormat="1" ht="15.75" customHeight="1" x14ac:dyDescent="0.3"/>
    <row r="876" s="88" customFormat="1" ht="15.75" customHeight="1" x14ac:dyDescent="0.3"/>
    <row r="877" s="88" customFormat="1" ht="15.75" customHeight="1" x14ac:dyDescent="0.3"/>
    <row r="878" s="88" customFormat="1" ht="15.75" customHeight="1" x14ac:dyDescent="0.3"/>
    <row r="879" s="88" customFormat="1" ht="15.75" customHeight="1" x14ac:dyDescent="0.3"/>
    <row r="880" s="88" customFormat="1" ht="15.75" customHeight="1" x14ac:dyDescent="0.3"/>
    <row r="881" s="88" customFormat="1" ht="15.75" customHeight="1" x14ac:dyDescent="0.3"/>
    <row r="882" s="88" customFormat="1" ht="15.75" customHeight="1" x14ac:dyDescent="0.3"/>
    <row r="883" s="88" customFormat="1" ht="15.75" customHeight="1" x14ac:dyDescent="0.3"/>
    <row r="884" s="88" customFormat="1" ht="15.75" customHeight="1" x14ac:dyDescent="0.3"/>
    <row r="885" s="88" customFormat="1" ht="15.75" customHeight="1" x14ac:dyDescent="0.3"/>
    <row r="886" s="88" customFormat="1" ht="15.75" customHeight="1" x14ac:dyDescent="0.3"/>
    <row r="887" s="88" customFormat="1" ht="15.75" customHeight="1" x14ac:dyDescent="0.3"/>
    <row r="888" s="88" customFormat="1" ht="15.75" customHeight="1" x14ac:dyDescent="0.3"/>
    <row r="889" s="88" customFormat="1" ht="15.75" customHeight="1" x14ac:dyDescent="0.3"/>
    <row r="890" s="88" customFormat="1" ht="15.75" customHeight="1" x14ac:dyDescent="0.3"/>
    <row r="891" s="88" customFormat="1" ht="15.75" customHeight="1" x14ac:dyDescent="0.3"/>
    <row r="892" s="88" customFormat="1" ht="15.75" customHeight="1" x14ac:dyDescent="0.3"/>
    <row r="893" s="88" customFormat="1" ht="15.75" customHeight="1" x14ac:dyDescent="0.3"/>
    <row r="894" s="88" customFormat="1" ht="15.75" customHeight="1" x14ac:dyDescent="0.3"/>
    <row r="895" s="88" customFormat="1" ht="15.75" customHeight="1" x14ac:dyDescent="0.3"/>
    <row r="896" s="88" customFormat="1" ht="15.75" customHeight="1" x14ac:dyDescent="0.3"/>
    <row r="897" s="88" customFormat="1" ht="15.75" customHeight="1" x14ac:dyDescent="0.3"/>
    <row r="898" s="88" customFormat="1" ht="15.75" customHeight="1" x14ac:dyDescent="0.3"/>
    <row r="899" s="88" customFormat="1" ht="15.75" customHeight="1" x14ac:dyDescent="0.3"/>
    <row r="900" s="88" customFormat="1" ht="15.75" customHeight="1" x14ac:dyDescent="0.3"/>
    <row r="901" s="88" customFormat="1" ht="15.75" customHeight="1" x14ac:dyDescent="0.3"/>
    <row r="902" s="88" customFormat="1" ht="15.75" customHeight="1" x14ac:dyDescent="0.3"/>
    <row r="903" s="88" customFormat="1" ht="15.75" customHeight="1" x14ac:dyDescent="0.3"/>
    <row r="904" s="88" customFormat="1" ht="15.75" customHeight="1" x14ac:dyDescent="0.3"/>
    <row r="905" s="88" customFormat="1" ht="15.75" customHeight="1" x14ac:dyDescent="0.3"/>
    <row r="906" s="88" customFormat="1" ht="15.75" customHeight="1" x14ac:dyDescent="0.3"/>
    <row r="907" s="88" customFormat="1" ht="15.75" customHeight="1" x14ac:dyDescent="0.3"/>
    <row r="908" s="88" customFormat="1" ht="15.75" customHeight="1" x14ac:dyDescent="0.3"/>
    <row r="909" s="88" customFormat="1" ht="15.75" customHeight="1" x14ac:dyDescent="0.3"/>
    <row r="910" s="88" customFormat="1" ht="15.75" customHeight="1" x14ac:dyDescent="0.3"/>
    <row r="911" s="88" customFormat="1" ht="15.75" customHeight="1" x14ac:dyDescent="0.3"/>
    <row r="912" s="88" customFormat="1" ht="15.75" customHeight="1" x14ac:dyDescent="0.3"/>
    <row r="913" s="88" customFormat="1" ht="15.75" customHeight="1" x14ac:dyDescent="0.3"/>
    <row r="914" s="88" customFormat="1" ht="15.75" customHeight="1" x14ac:dyDescent="0.3"/>
    <row r="915" s="88" customFormat="1" ht="15.75" customHeight="1" x14ac:dyDescent="0.3"/>
    <row r="916" s="88" customFormat="1" ht="15.75" customHeight="1" x14ac:dyDescent="0.3"/>
    <row r="917" s="88" customFormat="1" ht="15.75" customHeight="1" x14ac:dyDescent="0.3"/>
    <row r="918" s="88" customFormat="1" ht="15.75" customHeight="1" x14ac:dyDescent="0.3"/>
    <row r="919" s="88" customFormat="1" ht="15.75" customHeight="1" x14ac:dyDescent="0.3"/>
    <row r="920" s="88" customFormat="1" ht="15.75" customHeight="1" x14ac:dyDescent="0.3"/>
    <row r="921" s="88" customFormat="1" ht="15.75" customHeight="1" x14ac:dyDescent="0.3"/>
    <row r="922" s="88" customFormat="1" ht="15.75" customHeight="1" x14ac:dyDescent="0.3"/>
    <row r="923" s="88" customFormat="1" ht="15.75" customHeight="1" x14ac:dyDescent="0.3"/>
    <row r="924" s="88" customFormat="1" ht="15.75" customHeight="1" x14ac:dyDescent="0.3"/>
    <row r="925" s="88" customFormat="1" ht="15.75" customHeight="1" x14ac:dyDescent="0.3"/>
    <row r="926" s="88" customFormat="1" ht="15.75" customHeight="1" x14ac:dyDescent="0.3"/>
    <row r="927" s="88" customFormat="1" ht="15.75" customHeight="1" x14ac:dyDescent="0.3"/>
    <row r="928" s="88" customFormat="1" ht="15.75" customHeight="1" x14ac:dyDescent="0.3"/>
    <row r="929" s="88" customFormat="1" ht="15.75" customHeight="1" x14ac:dyDescent="0.3"/>
    <row r="930" s="88" customFormat="1" ht="15.75" customHeight="1" x14ac:dyDescent="0.3"/>
    <row r="931" s="88" customFormat="1" ht="15.75" customHeight="1" x14ac:dyDescent="0.3"/>
    <row r="932" s="88" customFormat="1" ht="15.75" customHeight="1" x14ac:dyDescent="0.3"/>
    <row r="933" s="88" customFormat="1" ht="15.75" customHeight="1" x14ac:dyDescent="0.3"/>
    <row r="934" s="88" customFormat="1" ht="15.75" customHeight="1" x14ac:dyDescent="0.3"/>
    <row r="935" s="88" customFormat="1" ht="15.75" customHeight="1" x14ac:dyDescent="0.3"/>
    <row r="936" s="88" customFormat="1" ht="15.75" customHeight="1" x14ac:dyDescent="0.3"/>
    <row r="937" s="88" customFormat="1" ht="15.75" customHeight="1" x14ac:dyDescent="0.3"/>
    <row r="938" s="88" customFormat="1" ht="15.75" customHeight="1" x14ac:dyDescent="0.3"/>
    <row r="939" s="88" customFormat="1" ht="15.75" customHeight="1" x14ac:dyDescent="0.3"/>
    <row r="940" s="88" customFormat="1" ht="15.75" customHeight="1" x14ac:dyDescent="0.3"/>
    <row r="941" s="88" customFormat="1" ht="15.75" customHeight="1" x14ac:dyDescent="0.3"/>
    <row r="942" s="88" customFormat="1" ht="15.75" customHeight="1" x14ac:dyDescent="0.3"/>
    <row r="943" s="88" customFormat="1" ht="15.75" customHeight="1" x14ac:dyDescent="0.3"/>
    <row r="944" s="88" customFormat="1" ht="15.75" customHeight="1" x14ac:dyDescent="0.3"/>
    <row r="945" s="88" customFormat="1" ht="15.75" customHeight="1" x14ac:dyDescent="0.3"/>
    <row r="946" s="88" customFormat="1" ht="15.75" customHeight="1" x14ac:dyDescent="0.3"/>
    <row r="947" s="88" customFormat="1" ht="15.75" customHeight="1" x14ac:dyDescent="0.3"/>
    <row r="948" s="88" customFormat="1" ht="15.75" customHeight="1" x14ac:dyDescent="0.3"/>
    <row r="949" s="88" customFormat="1" ht="15.75" customHeight="1" x14ac:dyDescent="0.3"/>
    <row r="950" s="88" customFormat="1" ht="15.75" customHeight="1" x14ac:dyDescent="0.3"/>
    <row r="951" s="88" customFormat="1" ht="15.75" customHeight="1" x14ac:dyDescent="0.3"/>
    <row r="952" s="88" customFormat="1" ht="15.75" customHeight="1" x14ac:dyDescent="0.3"/>
    <row r="953" s="88" customFormat="1" ht="15.75" customHeight="1" x14ac:dyDescent="0.3"/>
    <row r="954" s="88" customFormat="1" ht="15.75" customHeight="1" x14ac:dyDescent="0.3"/>
    <row r="955" s="88" customFormat="1" ht="15.75" customHeight="1" x14ac:dyDescent="0.3"/>
    <row r="956" s="88" customFormat="1" ht="15.75" customHeight="1" x14ac:dyDescent="0.3"/>
    <row r="957" s="88" customFormat="1" ht="15.75" customHeight="1" x14ac:dyDescent="0.3"/>
    <row r="958" s="88" customFormat="1" ht="15.75" customHeight="1" x14ac:dyDescent="0.3"/>
    <row r="959" s="88" customFormat="1" ht="15.75" customHeight="1" x14ac:dyDescent="0.3"/>
    <row r="960" s="88" customFormat="1" ht="15.75" customHeight="1" x14ac:dyDescent="0.3"/>
    <row r="961" s="88" customFormat="1" ht="15.75" customHeight="1" x14ac:dyDescent="0.3"/>
    <row r="962" s="88" customFormat="1" ht="15.75" customHeight="1" x14ac:dyDescent="0.3"/>
    <row r="963" s="88" customFormat="1" ht="15.75" customHeight="1" x14ac:dyDescent="0.3"/>
    <row r="964" s="88" customFormat="1" ht="15.75" customHeight="1" x14ac:dyDescent="0.3"/>
    <row r="965" s="88" customFormat="1" ht="15.75" customHeight="1" x14ac:dyDescent="0.3"/>
    <row r="966" s="88" customFormat="1" ht="15.75" customHeight="1" x14ac:dyDescent="0.3"/>
    <row r="967" s="88" customFormat="1" ht="15.75" customHeight="1" x14ac:dyDescent="0.3"/>
    <row r="968" s="88" customFormat="1" ht="15.75" customHeight="1" x14ac:dyDescent="0.3"/>
    <row r="969" s="88" customFormat="1" ht="15.75" customHeight="1" x14ac:dyDescent="0.3"/>
    <row r="970" s="88" customFormat="1" ht="15.75" customHeight="1" x14ac:dyDescent="0.3"/>
    <row r="971" s="88" customFormat="1" ht="15.75" customHeight="1" x14ac:dyDescent="0.3"/>
    <row r="972" s="88" customFormat="1" ht="15.75" customHeight="1" x14ac:dyDescent="0.3"/>
    <row r="973" s="88" customFormat="1" ht="15.75" customHeight="1" x14ac:dyDescent="0.3"/>
    <row r="974" s="88" customFormat="1" ht="15.75" customHeight="1" x14ac:dyDescent="0.3"/>
    <row r="975" s="88" customFormat="1" ht="15.75" customHeight="1" x14ac:dyDescent="0.3"/>
    <row r="976" s="88" customFormat="1" ht="15.75" customHeight="1" x14ac:dyDescent="0.3"/>
    <row r="977" s="88" customFormat="1" ht="15.75" customHeight="1" x14ac:dyDescent="0.3"/>
    <row r="978" s="88" customFormat="1" ht="15.75" customHeight="1" x14ac:dyDescent="0.3"/>
    <row r="979" s="88" customFormat="1" ht="15.75" customHeight="1" x14ac:dyDescent="0.3"/>
    <row r="980" s="88" customFormat="1" ht="15.75" customHeight="1" x14ac:dyDescent="0.3"/>
    <row r="981" s="88" customFormat="1" ht="15.75" customHeight="1" x14ac:dyDescent="0.3"/>
    <row r="982" s="88" customFormat="1" ht="15.75" customHeight="1" x14ac:dyDescent="0.3"/>
    <row r="983" s="88" customFormat="1" ht="15.75" customHeight="1" x14ac:dyDescent="0.3"/>
    <row r="984" s="88" customFormat="1" ht="15.75" customHeight="1" x14ac:dyDescent="0.3"/>
    <row r="985" s="88" customFormat="1" ht="15.75" customHeight="1" x14ac:dyDescent="0.3"/>
    <row r="986" s="88" customFormat="1" ht="15.75" customHeight="1" x14ac:dyDescent="0.3"/>
    <row r="987" s="88" customFormat="1" ht="15.75" customHeight="1" x14ac:dyDescent="0.3"/>
    <row r="988" s="88" customFormat="1" ht="15.75" customHeight="1" x14ac:dyDescent="0.3"/>
    <row r="989" s="88" customFormat="1" ht="15.75" customHeight="1" x14ac:dyDescent="0.3"/>
    <row r="990" s="88" customFormat="1" ht="15.75" customHeight="1" x14ac:dyDescent="0.3"/>
    <row r="991" s="88" customFormat="1" ht="15.75" customHeight="1" x14ac:dyDescent="0.3"/>
    <row r="992" s="88" customFormat="1" ht="15.75" customHeight="1" x14ac:dyDescent="0.3"/>
    <row r="993" s="88" customFormat="1" ht="15.75" customHeight="1" x14ac:dyDescent="0.3"/>
    <row r="994" s="88" customFormat="1" ht="15.75" customHeight="1" x14ac:dyDescent="0.3"/>
    <row r="995" s="88" customFormat="1" ht="15.75" customHeight="1" x14ac:dyDescent="0.3"/>
    <row r="996" s="88" customFormat="1" ht="15.75" customHeight="1" x14ac:dyDescent="0.3"/>
    <row r="997" s="88" customFormat="1" ht="15.75" customHeight="1" x14ac:dyDescent="0.3"/>
    <row r="998" s="88" customFormat="1" ht="15.75" customHeight="1" x14ac:dyDescent="0.3"/>
    <row r="999" s="88" customFormat="1" ht="15.75" customHeight="1" x14ac:dyDescent="0.3"/>
    <row r="1000" s="88" customFormat="1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4" xr:uid="{62253D02-18B6-46D7-9902-2ECB6C1191B6}">
      <formula1>$C$6:$C$10</formula1>
    </dataValidation>
    <dataValidation type="list" allowBlank="1" showErrorMessage="1" sqref="D5" xr:uid="{2BDFA1FD-97B5-470E-AB59-FAACF3B4F71A}">
      <formula1>$B$6:$B$8</formula1>
    </dataValidation>
    <dataValidation type="list" allowBlank="1" showErrorMessage="1" sqref="B5" xr:uid="{848A1CB9-A1B6-43ED-8B33-B21C510C8034}">
      <formula1>$A$6:$A$10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activeCell="D22" sqref="D22"/>
    </sheetView>
  </sheetViews>
  <sheetFormatPr defaultColWidth="14.44140625" defaultRowHeight="15" customHeight="1" x14ac:dyDescent="0.3"/>
  <cols>
    <col min="1" max="1" width="35.88671875" customWidth="1"/>
    <col min="2" max="2" width="11" customWidth="1"/>
    <col min="3" max="26" width="8.6640625" customWidth="1"/>
  </cols>
  <sheetData>
    <row r="1" spans="1:3" ht="15.6" x14ac:dyDescent="0.3">
      <c r="A1" s="80" t="s">
        <v>85</v>
      </c>
    </row>
    <row r="2" spans="1:3" ht="14.4" x14ac:dyDescent="0.3">
      <c r="A2" t="s">
        <v>86</v>
      </c>
      <c r="B2" t="s">
        <v>87</v>
      </c>
    </row>
    <row r="3" spans="1:3" ht="14.4" x14ac:dyDescent="0.3">
      <c r="A3" t="s">
        <v>88</v>
      </c>
      <c r="B3" s="81">
        <v>43581</v>
      </c>
    </row>
    <row r="4" spans="1:3" ht="14.4" x14ac:dyDescent="0.3">
      <c r="A4" t="s">
        <v>89</v>
      </c>
    </row>
    <row r="7" spans="1:3" ht="14.4" x14ac:dyDescent="0.3">
      <c r="A7" s="8" t="s">
        <v>90</v>
      </c>
      <c r="B7" s="8">
        <v>100</v>
      </c>
      <c r="C7" s="8"/>
    </row>
    <row r="8" spans="1:3" ht="14.4" x14ac:dyDescent="0.3">
      <c r="A8" s="8" t="s">
        <v>91</v>
      </c>
      <c r="B8" s="8">
        <v>100</v>
      </c>
      <c r="C8" s="82">
        <v>1</v>
      </c>
    </row>
    <row r="9" spans="1:3" ht="14.4" x14ac:dyDescent="0.3">
      <c r="A9" s="8" t="s">
        <v>92</v>
      </c>
      <c r="B9" s="8">
        <v>83</v>
      </c>
      <c r="C9" s="83">
        <v>0.83</v>
      </c>
    </row>
    <row r="10" spans="1:3" ht="14.4" x14ac:dyDescent="0.3">
      <c r="A10" s="8" t="s">
        <v>93</v>
      </c>
      <c r="B10" s="8">
        <v>20</v>
      </c>
      <c r="C10" s="83">
        <v>0.2</v>
      </c>
    </row>
    <row r="12" spans="1:3" ht="14.4" x14ac:dyDescent="0.3">
      <c r="A12" s="8" t="s">
        <v>94</v>
      </c>
      <c r="B12" s="8">
        <v>20</v>
      </c>
    </row>
    <row r="13" spans="1:3" ht="14.4" x14ac:dyDescent="0.3">
      <c r="A13" s="8" t="s">
        <v>95</v>
      </c>
      <c r="B13" s="8">
        <v>10</v>
      </c>
    </row>
    <row r="14" spans="1:3" ht="14.4" x14ac:dyDescent="0.3">
      <c r="A14" s="8" t="s">
        <v>96</v>
      </c>
      <c r="B14" s="8">
        <v>5</v>
      </c>
    </row>
    <row r="15" spans="1:3" ht="14.4" x14ac:dyDescent="0.3">
      <c r="A15" s="8" t="s">
        <v>97</v>
      </c>
      <c r="B15" s="8"/>
    </row>
    <row r="16" spans="1:3" ht="14.4" x14ac:dyDescent="0.3">
      <c r="A16" s="8" t="s">
        <v>98</v>
      </c>
      <c r="B16" s="8">
        <v>4</v>
      </c>
    </row>
    <row r="17" spans="1:2" ht="14.4" x14ac:dyDescent="0.3">
      <c r="A17" s="8" t="s">
        <v>99</v>
      </c>
      <c r="B17" s="8">
        <v>1</v>
      </c>
    </row>
    <row r="20" spans="1:2" ht="15.6" x14ac:dyDescent="0.3">
      <c r="A20" s="80" t="s">
        <v>100</v>
      </c>
    </row>
    <row r="21" spans="1:2" ht="15.75" customHeight="1" x14ac:dyDescent="0.3">
      <c r="A21" t="s">
        <v>101</v>
      </c>
    </row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Тест-план</vt:lpstr>
      <vt:lpstr>Чек-лист + Дефекты</vt:lpstr>
      <vt:lpstr>Тест-кейс 1</vt:lpstr>
      <vt:lpstr>Дефект 1</vt:lpstr>
      <vt:lpstr>Тест-кейс 2</vt:lpstr>
      <vt:lpstr>Дефект 2</vt:lpstr>
      <vt:lpstr>Тест-кейс 3</vt:lpstr>
      <vt:lpstr>Дефект 3</vt:lpstr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created xsi:type="dcterms:W3CDTF">2006-09-28T05:33:49Z</dcterms:created>
  <dcterms:modified xsi:type="dcterms:W3CDTF">2026-05-22T16:30:24Z</dcterms:modified>
</cp:coreProperties>
</file>