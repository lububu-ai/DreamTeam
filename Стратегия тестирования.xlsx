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aterina\Downloads\"/>
    </mc:Choice>
  </mc:AlternateContent>
  <xr:revisionPtr revIDLastSave="0" documentId="13_ncr:1_{5649E3B8-BA73-4669-8117-1CDFEB99CA4F}" xr6:coauthVersionLast="47" xr6:coauthVersionMax="47" xr10:uidLastSave="{00000000-0000-0000-0000-000000000000}"/>
  <bookViews>
    <workbookView xWindow="-108" yWindow="-108" windowWidth="23256" windowHeight="12456" tabRatio="801" activeTab="1" xr2:uid="{00000000-000D-0000-FFFF-FFFF00000000}"/>
  </bookViews>
  <sheets>
    <sheet name="Тест-план" sheetId="1" r:id="rId1"/>
    <sheet name="Чек-лист + Дефекты" sheetId="2" r:id="rId2"/>
    <sheet name="Тест-кейс 1" sheetId="3" r:id="rId3"/>
    <sheet name="Дефект 1" sheetId="7" r:id="rId4"/>
    <sheet name="Тест-кейс 2" sheetId="4" r:id="rId5"/>
    <sheet name="Дефект 2" sheetId="5" r:id="rId6"/>
    <sheet name="Тест-кейс 3" sheetId="8" r:id="rId7"/>
    <sheet name="Дефект 3" sheetId="9" r:id="rId8"/>
    <sheet name="Отчет" sheetId="6" r:id="rId9"/>
  </sheets>
  <definedNames>
    <definedName name="_xlnm._FilterDatabase" localSheetId="1" hidden="1">'Чек-лист + Дефекты'!$B$1:$G$63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8" l="1"/>
  <c r="F10" i="8"/>
  <c r="E10" i="8"/>
  <c r="D10" i="8"/>
  <c r="H10" i="8" s="1"/>
  <c r="A10" i="8"/>
  <c r="E10" i="3" l="1"/>
  <c r="D10" i="3"/>
  <c r="H10" i="4"/>
  <c r="A13" i="4"/>
  <c r="F10" i="4"/>
  <c r="E10" i="4"/>
  <c r="D10" i="4"/>
  <c r="A10" i="4"/>
  <c r="A15" i="3"/>
  <c r="A10" i="3" s="1"/>
  <c r="F10" i="3"/>
  <c r="G1" i="3"/>
  <c r="E13" i="1"/>
  <c r="H10" i="3" l="1"/>
</calcChain>
</file>

<file path=xl/sharedStrings.xml><?xml version="1.0" encoding="utf-8"?>
<sst xmlns="http://schemas.openxmlformats.org/spreadsheetml/2006/main" count="508" uniqueCount="319">
  <si>
    <t>Цели доработки</t>
  </si>
  <si>
    <t>Важен критерий: задукоментированы все дефекты, исправлены все дефекты с приоритетом выше Critical</t>
  </si>
  <si>
    <t>1 - самый высокий приоритет</t>
  </si>
  <si>
    <t>JiraTask</t>
  </si>
  <si>
    <t>Область функционала</t>
  </si>
  <si>
    <t>Прио</t>
  </si>
  <si>
    <t>Стратегия тестирования</t>
  </si>
  <si>
    <t>h</t>
  </si>
  <si>
    <t>Риски</t>
  </si>
  <si>
    <t>Статус</t>
  </si>
  <si>
    <t>Аналитик</t>
  </si>
  <si>
    <t>Разработчик</t>
  </si>
  <si>
    <t>Тестировщик</t>
  </si>
  <si>
    <t>FSD</t>
  </si>
  <si>
    <t>dumb.chm</t>
  </si>
  <si>
    <t>Итого</t>
  </si>
  <si>
    <t>Тест-кейсы</t>
  </si>
  <si>
    <t>Результат</t>
  </si>
  <si>
    <t>Дефект</t>
  </si>
  <si>
    <t>№</t>
  </si>
  <si>
    <t>Наименование</t>
  </si>
  <si>
    <t>Важность</t>
  </si>
  <si>
    <t>New</t>
  </si>
  <si>
    <t>Open</t>
  </si>
  <si>
    <t>Save</t>
  </si>
  <si>
    <t>Exit</t>
  </si>
  <si>
    <t>Не закрывается файл справки</t>
  </si>
  <si>
    <t>Trivial</t>
  </si>
  <si>
    <t>С маленькой буквы</t>
  </si>
  <si>
    <t>Minor</t>
  </si>
  <si>
    <t>Модальное окно не закрывается, приложение зависает</t>
  </si>
  <si>
    <t>Critical</t>
  </si>
  <si>
    <t>High</t>
  </si>
  <si>
    <t>Cat вместо Cut</t>
  </si>
  <si>
    <t>Add-OK</t>
  </si>
  <si>
    <t>aaaaaaaazzzzzzzzzzzzzzzzzzzzzssssssssssddddddggggggggggggggggghhhhhhhhhhhhhhhdqweerwtreyrteuyriuuoiupasdgasdhsfgjfhgkghljkzxcvbzcvnbmnbcmgfhaeryhdfbddddddddffffffffffffffx</t>
  </si>
  <si>
    <t xml:space="preserve"> </t>
  </si>
  <si>
    <t>a1s2d3f4g5h6</t>
  </si>
  <si>
    <t>1a1s2d3f4g</t>
  </si>
  <si>
    <t>a</t>
  </si>
  <si>
    <t>aa</t>
  </si>
  <si>
    <t>aaab</t>
  </si>
  <si>
    <t>baaa</t>
  </si>
  <si>
    <t>Наименование:</t>
  </si>
  <si>
    <t>№:</t>
  </si>
  <si>
    <t>Описание:</t>
  </si>
  <si>
    <t>Статус:</t>
  </si>
  <si>
    <t>Дефекты №:</t>
  </si>
  <si>
    <t>Тестировщик:</t>
  </si>
  <si>
    <t>Дата:</t>
  </si>
  <si>
    <t>Начальные условия:</t>
  </si>
  <si>
    <t>шагов</t>
  </si>
  <si>
    <t>Число шагов по статусам:</t>
  </si>
  <si>
    <t>% Complete:</t>
  </si>
  <si>
    <t>Шаг</t>
  </si>
  <si>
    <t>Действие</t>
  </si>
  <si>
    <t>Ожидаемый результат</t>
  </si>
  <si>
    <t>Pass</t>
  </si>
  <si>
    <t>Fail</t>
  </si>
  <si>
    <t>N/A</t>
  </si>
  <si>
    <t>Фактический результат</t>
  </si>
  <si>
    <t>№ дефекта</t>
  </si>
  <si>
    <t>x</t>
  </si>
  <si>
    <t>Список значений:</t>
  </si>
  <si>
    <t>Название</t>
  </si>
  <si>
    <t>№ тест-кейса</t>
  </si>
  <si>
    <t xml:space="preserve">Проект </t>
  </si>
  <si>
    <t xml:space="preserve">Компонент </t>
  </si>
  <si>
    <t xml:space="preserve">Статус </t>
  </si>
  <si>
    <t xml:space="preserve">Номер версии </t>
  </si>
  <si>
    <t>Важность:</t>
  </si>
  <si>
    <t>Приоритет:</t>
  </si>
  <si>
    <t>Medium</t>
  </si>
  <si>
    <t>Blocker</t>
  </si>
  <si>
    <t>Opened</t>
  </si>
  <si>
    <t>In progress</t>
  </si>
  <si>
    <t>Major</t>
  </si>
  <si>
    <t>Low</t>
  </si>
  <si>
    <t>Retest</t>
  </si>
  <si>
    <t>Fixed</t>
  </si>
  <si>
    <t>Closed</t>
  </si>
  <si>
    <t xml:space="preserve">Назначен на </t>
  </si>
  <si>
    <t>Автор</t>
  </si>
  <si>
    <t>Описание</t>
  </si>
  <si>
    <t>Вложения</t>
  </si>
  <si>
    <t>Отчет о системном тестировании TextFilter</t>
  </si>
  <si>
    <t>Версия</t>
  </si>
  <si>
    <t>1.0</t>
  </si>
  <si>
    <t>Сроки проведения тестирования</t>
  </si>
  <si>
    <t>Участники процесса</t>
  </si>
  <si>
    <t>к-во запланированных тестов</t>
  </si>
  <si>
    <t>к-во выполненных тестов</t>
  </si>
  <si>
    <t>к-во успешно выполненных тестов</t>
  </si>
  <si>
    <t>к-во неуспешно выполненных тестов</t>
  </si>
  <si>
    <t>к-во зарегистрированных ошибок</t>
  </si>
  <si>
    <t>приоритета Critical</t>
  </si>
  <si>
    <t>приоритета High</t>
  </si>
  <si>
    <t>приоритета Medium</t>
  </si>
  <si>
    <t>приоритета Minor</t>
  </si>
  <si>
    <t>приоритета Trivial</t>
  </si>
  <si>
    <t>Заключение:</t>
  </si>
  <si>
    <r>
      <t xml:space="preserve">Система </t>
    </r>
    <r>
      <rPr>
        <b/>
        <sz val="11"/>
        <color rgb="FF000000"/>
        <rFont val="Calibri"/>
      </rPr>
      <t>не рекомендуется</t>
    </r>
    <r>
      <rPr>
        <sz val="11"/>
        <color rgb="FF000000"/>
        <rFont val="Calibri"/>
      </rPr>
      <t xml:space="preserve"> для установки в прод т к не достигнуты метрики окончания тестирования (не исправлены все дефекты приоритета Critical)</t>
    </r>
  </si>
  <si>
    <t xml:space="preserve">Тест-кейс для проверки </t>
  </si>
  <si>
    <t xml:space="preserve"> Проверка очистки поля ответа при возврате назад и выборе другого задания</t>
  </si>
  <si>
    <t>Сервер запущен, клиентское приложение запущено, пользователь авторизован.</t>
  </si>
  <si>
    <t>На главном экране нажать кнопку Task 3.</t>
  </si>
  <si>
    <t>Открылось Task 3</t>
  </si>
  <si>
    <t>Ввести в поле ответа значение "123"</t>
  </si>
  <si>
    <t>Введено</t>
  </si>
  <si>
    <t>Нажать кнопку Back</t>
  </si>
  <si>
    <t>Пользователь вернулся на экран выбора заданий</t>
  </si>
  <si>
    <t>Открылось Task 5</t>
  </si>
  <si>
    <t xml:space="preserve">Нажать кнопку Task 5
</t>
  </si>
  <si>
    <t xml:space="preserve">Проверить содержимое поля ввода ответа
</t>
  </si>
  <si>
    <t>Поле ответа должно быть пустым</t>
  </si>
  <si>
    <t>х</t>
  </si>
  <si>
    <t>В поле ответа остаётся старое значение "123", введённое в предыдущем задании</t>
  </si>
  <si>
    <t>Failed</t>
  </si>
  <si>
    <t>Семенец Екатерина</t>
  </si>
  <si>
    <t>Поле ответа не очищается после нажатия Back и выбора другого задания</t>
  </si>
  <si>
    <t xml:space="preserve">При переходе из одного задания назад в меню, а затем при открытии другого задания, поле ввода ответа сохраняет значение, введённое в предыдущем задании. Из-за этого пользователь может случайно отправить старый ответ для нового задания.Шаги воспроизведения:
1 Запустить сервер, клиент и авторизоваться
2 Нажать кнопку Task 3 и ввести в поле ответа значение "123"
3 Нажать кнопку Back
4. Нажать кнопку Task 5
5. Посмотреть поле ввода ответа.
Ожидаемый результат:
 Поле ответа должно быть пустым при открытии нового задания.
Наблюдаемый результат:
В поле ответа отображается значение "123", оставшееся от предыдущего задания.
</t>
  </si>
  <si>
    <t>Валидация формата e-mail при регистрации</t>
  </si>
  <si>
    <t>Шилова Любовь</t>
  </si>
  <si>
    <t>Проверка валидации формата e-mail при регистрации пользователя</t>
  </si>
  <si>
    <t>Тест-кейс 2</t>
  </si>
  <si>
    <t>Приложение запущено, открыта форма регистрации.</t>
  </si>
  <si>
    <t>test_email</t>
  </si>
  <si>
    <t>Успешная регистрация</t>
  </si>
  <si>
    <t xml:space="preserve">Регистрация не удалась </t>
  </si>
  <si>
    <t>Нажать 'Register'.</t>
  </si>
  <si>
    <t>Ввод данных</t>
  </si>
  <si>
    <t>Отсутствует валидация формата E-mail</t>
  </si>
  <si>
    <t>Проверка автообновления условия задачи</t>
  </si>
  <si>
    <t>Тест-кейс для проверки автоматического автообновления условия задачи после решения и отправки ответа для предыдущего условия</t>
  </si>
  <si>
    <t>Рыбакин Иван</t>
  </si>
  <si>
    <t>Запустить сервер и клиент, авторизоваться</t>
  </si>
  <si>
    <t>На экран вывелось условие выбранного задания, кнопка Back, поле для ввода ответа и кнопка Send для его отправки</t>
  </si>
  <si>
    <t>Введенно</t>
  </si>
  <si>
    <t>Нажать кнопку Send и отправить ответ на сервер</t>
  </si>
  <si>
    <t>Ответ отправлен. Открывается Message Box с результатом решения. Условие задания обновилось</t>
  </si>
  <si>
    <t>Ответ отправлен. Открывается Message Box с результатом решения. Условие не обновилось</t>
  </si>
  <si>
    <t>Условие задания не обновляется после решения предыдущего</t>
  </si>
  <si>
    <t>Тест-план</t>
  </si>
  <si>
    <t>Обеспечение корректного функционирования</t>
  </si>
  <si>
    <t>Обновление условия задачи</t>
  </si>
  <si>
    <t>Регистрация</t>
  </si>
  <si>
    <t>Открытие формы регистрации</t>
  </si>
  <si>
    <t>Ввод e-mail некорректного формата</t>
  </si>
  <si>
    <t>Ввод ответа в поле</t>
  </si>
  <si>
    <t>Поле ответа не очищается после Back и выбора другого задания</t>
  </si>
  <si>
    <t xml:space="preserve">Авторизация и регистрация </t>
  </si>
  <si>
    <t>область функционала</t>
  </si>
  <si>
    <t xml:space="preserve"> Заполнить поле 'Email' значением из списка.</t>
  </si>
  <si>
    <t>Заполнить поле 'Login' значением из  списка.</t>
  </si>
  <si>
    <t>user</t>
  </si>
  <si>
    <t>Заполнить поле пароля значением из списка.</t>
  </si>
  <si>
    <t>Password123!</t>
  </si>
  <si>
    <t>Шаги воспроизведения:
1 Запустить клиент 
2 Перейти к форме регистрации
3 Ввести данные, указав пользователь "user", пароль "Password123!"  и e-mail "test_email"
4. Нажать кнопку регистрации.
Ожидаемый результат:
 Регистрация блокируется, пользователю отображается уведомление о некорректном формате email.
Наблюдаемый результат:
Данные отправляются на сервер, регистрация проходит успешно.
Комментарий: Ошибка позволяет засорять базу данных некорректными данными. Необходимо добавить проверку.</t>
  </si>
  <si>
    <t>В окне выбора заданий выбрать Task 2</t>
  </si>
  <si>
    <t>Ввести ответ "55"</t>
  </si>
  <si>
    <t>При решении любого задания и отправке ответа на сервер условия автоматически обновляются на стороне сервера, когда на стороне клиента это происходит только при повторном выборе задания в окне выбора заданий. Это может запутать пользователя и привести к дальнейшим ошибкам при решении
Шаги воспроизведения:
1 В окне выбора заданий выбрать Task 2
2 Ввести ответ в поле "55"
3 Нажать кнопку Send и отправить ответ на сервер
Ожидаемый результат:
1 На экран вывелось условие выбранного задания, кнопка Back, поле для ввода ответа и кнопка Send для его отправки
2 Введенно
3 Ответ отправлен. Открывается Message Box с результатом решения. Условие задания обновилось
Наблюдаемый результат:
1 На экран вывелось условие выбранного задания, кнопка Back, поле для ввода ответа и кнопка Send для его отправки
2 Введенно
3 Ответ отправлен. Открывается Message Box с результатом решения. Условие задания не обновилось
Решение:
После отправки ответа и вывода Message Box клиент автоматически возвращает пользователя на окно выбора задания. Пользователь должен снова выбрать задачу, при выборе задачи и нажатии кнопки, соответствующей ей, условие обновляется</t>
  </si>
  <si>
    <t>Работа с задачами</t>
  </si>
  <si>
    <t xml:space="preserve">Main window </t>
  </si>
  <si>
    <t>не протестирован</t>
  </si>
  <si>
    <t>Проверка регистрации нового пользователя, авторизации существующего пользователя, обязательных полей, формата e-mail, обработки неверных логина/пароля и переходов между формами.</t>
  </si>
  <si>
    <t>Проверка открытия задач, отображения условия, ввода ответа, отправки ответа, перехода назад, очистки поля ответа, обновления условия после решения и корректной обработки неверного ответа.</t>
  </si>
  <si>
    <t>Проверка кнопок открытия задач с первой по пятую, перехода к статистике, возврата из разделов, работы кнопки выхода и корректности отображения элементов главного окна.</t>
  </si>
  <si>
    <t>Некорректные данные могут попадать в систему; пользователь может войти без корректной проверки учетных данных; ошибки валидации могут мешать регистрации.</t>
  </si>
  <si>
    <t>Пользователь может отправить старый ответ, решать задание по устаревшему условию или получить некорректный результат после отправки.</t>
  </si>
  <si>
    <t>Кнопки могут вести не в тот раздел; статистика может не открываться; выход может работать некорректно; пользователь может потерять возможность навигации.</t>
  </si>
  <si>
    <t xml:space="preserve"> частично протестировано, есть дефект</t>
  </si>
  <si>
    <t>Открыть экран регистрации из начального окна</t>
  </si>
  <si>
    <t>проверка/стратегия тестирования</t>
  </si>
  <si>
    <t>тестовые данные/условия</t>
  </si>
  <si>
    <t>ожидаемый результат</t>
  </si>
  <si>
    <t>статус</t>
  </si>
  <si>
    <t>Форма регистрации открывается, отображаются поля для ввода данных и кнопка регистрации</t>
  </si>
  <si>
    <t>Система не выполняет регистрацию и показывает сообщение об ошибке</t>
  </si>
  <si>
    <t>Запланировано</t>
  </si>
  <si>
    <t>Например: usermail.com или user@</t>
  </si>
  <si>
    <t>Регистрация блокируется, отображается ошибка формата e-mail</t>
  </si>
  <si>
    <t>Выполнено</t>
  </si>
  <si>
    <t>Ввод валидных данных нового пользователя</t>
  </si>
  <si>
    <t>Корректный login, e-mail и пароль</t>
  </si>
  <si>
    <t>Пользователь успешно регистрируется и может перейти к работе с приложением</t>
  </si>
  <si>
    <t>Вход с корректными учетными данными</t>
  </si>
  <si>
    <t>Вход с неверным паролем</t>
  </si>
  <si>
    <t>Авторизация</t>
  </si>
  <si>
    <t>Открытие задач</t>
  </si>
  <si>
    <t>Открытие выбранной задачи</t>
  </si>
  <si>
    <t>Открывается экран выбранной задачи с корректным условием</t>
  </si>
  <si>
    <t>Проверка соответствия номера задачи и условия</t>
  </si>
  <si>
    <t>Открыть Task 1–Task 5</t>
  </si>
  <si>
    <t>Для каждой кнопки отображается соответствующая задача</t>
  </si>
  <si>
    <t xml:space="preserve">Ввод ответа </t>
  </si>
  <si>
    <t>Ответ отображается в поле ввода без искажений</t>
  </si>
  <si>
    <t>Ввести ответ в поле ввода</t>
  </si>
  <si>
    <t>Проверка пустого ответа</t>
  </si>
  <si>
    <t>Оставить поле ответа пустым и нажать Send</t>
  </si>
  <si>
    <t>Система не принимает пустой ответ и сообщает об ошибке</t>
  </si>
  <si>
    <t>Переходы между задачами</t>
  </si>
  <si>
    <t>Проверка очистки поля ответа после Back и выбора другого задания</t>
  </si>
  <si>
    <t>Открыть Task 3, ввести ответ, нажать Back, открыть Task 5</t>
  </si>
  <si>
    <t>Поле ответа для новой задачи должно быть пустым</t>
  </si>
  <si>
    <t>Отправка ответа</t>
  </si>
  <si>
    <t>Отправка правильного ответа</t>
  </si>
  <si>
    <t>Ввести корректный ответ и нажать Send</t>
  </si>
  <si>
    <t>Система принимает ответ и показывает следующий результат/задачу</t>
  </si>
  <si>
    <t>Отправка неправильного ответа</t>
  </si>
  <si>
    <t>Ввести неверный ответ и нажать Send</t>
  </si>
  <si>
    <t>После отправки ответа условие задачи обновляется</t>
  </si>
  <si>
    <t>Проверка обновления условия после отправки ответа</t>
  </si>
  <si>
    <t>Решить задачу и нажать Send</t>
  </si>
  <si>
    <t>Навигация</t>
  </si>
  <si>
    <t>Возврат назад из задачи</t>
  </si>
  <si>
    <t>Нажать Back на экране задачи</t>
  </si>
  <si>
    <t>Пользователь возвращается в Main window без потери работоспособности приложения</t>
  </si>
  <si>
    <t>Кнопки задач</t>
  </si>
  <si>
    <t>Открытие Task 1</t>
  </si>
  <si>
    <t>Нажать кнопку Task 1</t>
  </si>
  <si>
    <t>Открытие Task 2</t>
  </si>
  <si>
    <t>Нажать кнопку Task 2</t>
  </si>
  <si>
    <t>Открытие Task 3</t>
  </si>
  <si>
    <t>Нажать кнопку Task 3</t>
  </si>
  <si>
    <t>Открытие Task 4</t>
  </si>
  <si>
    <t>Нажать кнопку Task 4</t>
  </si>
  <si>
    <t>Открытие Task 5</t>
  </si>
  <si>
    <t>Нажать кнопку Task 5</t>
  </si>
  <si>
    <t>Открывается первая задача</t>
  </si>
  <si>
    <t>Открывается вторая задача</t>
  </si>
  <si>
    <t>Открывается третья задача</t>
  </si>
  <si>
    <t>Открывается четвертая задача</t>
  </si>
  <si>
    <t>Открывается пятая задача</t>
  </si>
  <si>
    <t>Статистика</t>
  </si>
  <si>
    <t>Открытие раздела статистики</t>
  </si>
  <si>
    <t>Нажать кнопку Stat</t>
  </si>
  <si>
    <t>Открывается экран статистики пользователя</t>
  </si>
  <si>
    <t>Проверка отображения данных статистики</t>
  </si>
  <si>
    <t>Открыть статистику после решения задач</t>
  </si>
  <si>
    <t>Отображаются актуальные данные о выполненных заданиях/результатах</t>
  </si>
  <si>
    <t>Выход</t>
  </si>
  <si>
    <t>Проверка кнопки Exit</t>
  </si>
  <si>
    <t>Нажать кнопку Exit</t>
  </si>
  <si>
    <t>Приложение корректно завершает работу</t>
  </si>
  <si>
    <t>Интерфейс</t>
  </si>
  <si>
    <t>Проверка корректности отображения элементов главного окна</t>
  </si>
  <si>
    <t>Открыть Main window после авторизации</t>
  </si>
  <si>
    <t>Все кнопки и элементы отображаются без наложений и доступны для нажатия</t>
  </si>
  <si>
    <t>Проверка обязательности поля логина</t>
  </si>
  <si>
    <t>Оставить поле логина пустым, остальные поля заполнить валидно</t>
  </si>
  <si>
    <t>Проверка обязательности поля e-mail</t>
  </si>
  <si>
    <t>Оставить поле e-mail пустым, остальные поля заполнить валидно</t>
  </si>
  <si>
    <t>Проверка обязательности поля пароля</t>
  </si>
  <si>
    <t>Оставить поле пароля пустым, остальные поля заполнить валидно</t>
  </si>
  <si>
    <t>Проверка регистрации при всех пустых полях</t>
  </si>
  <si>
    <t>Оставить все поля формы регистрации пустыми и нажать кнопку регистрации</t>
  </si>
  <si>
    <t>Ввод e-mail корректного формата</t>
  </si>
  <si>
    <t>user@mail.ru</t>
  </si>
  <si>
    <t>Система принимает e-mail как корректный и продолжает регистрацию</t>
  </si>
  <si>
    <t>Проверка повторной регистрации с тем же логином</t>
  </si>
  <si>
    <t>Ввести логин уже зарегистрированного пользователя, новый e-mail и пароль</t>
  </si>
  <si>
    <t>Система не создает дубль учетной записи и сообщает, что пользователь с таким логином уже существует</t>
  </si>
  <si>
    <t>Проверка повторной регистрации с тем же e-mail</t>
  </si>
  <si>
    <t>Ввести новый логин, e-mail уже зарегистрированного пользователя и пароль</t>
  </si>
  <si>
    <t>Система не создает дубль учетной записи и сообщает, что пользователь с таким e-mail уже существует</t>
  </si>
  <si>
    <t>Проверка минимальной длины логина</t>
  </si>
  <si>
    <t>Ввести логин из 1 символ</t>
  </si>
  <si>
    <t>Система не выполняет регистрацию, если логин не соответствует ограничению по минимальной длине</t>
  </si>
  <si>
    <t>Проверка максимальной длины логина</t>
  </si>
  <si>
    <t>Ввести логин длиной более допустимого ограничения</t>
  </si>
  <si>
    <t>Система не выполняет регистрацию либо ограничивает ввод в соответствии с заданным ограничением</t>
  </si>
  <si>
    <t>Проверка допустимых символов в логине</t>
  </si>
  <si>
    <t>Ввести логин с буквами, цифрами и специальными символами</t>
  </si>
  <si>
    <t>Система принимает только допустимые символы либо выводит сообщение об ошибке для недопустимых символов</t>
  </si>
  <si>
    <t>Проверка минимальной длины пароля</t>
  </si>
  <si>
    <t>Ввести пароль из 1–2 символов</t>
  </si>
  <si>
    <t>Система не выполняет регистрацию, если пароль не соответствует ограничению по минимальной длине</t>
  </si>
  <si>
    <t>Проверка максимальной длины пароля</t>
  </si>
  <si>
    <t>Ввести пароль длиной более допустимого ограничения</t>
  </si>
  <si>
    <t>Проверка ввода пробелов в поля регистрации</t>
  </si>
  <si>
    <t>Ввести пробелы вместо логина, e-mail или пароля</t>
  </si>
  <si>
    <t>Система не принимает значения, состоящие только из пробелов</t>
  </si>
  <si>
    <t>Проверка обработки пробелов в начале и конце значения</t>
  </si>
  <si>
    <t>Ввести логин или e-mail с пробелами в начале/конце строки</t>
  </si>
  <si>
    <t>Система либо удаляет лишние пробелы, либо выводит сообщение об ошибке ввода</t>
  </si>
  <si>
    <t>Проверка сохранения зарегистрированного пользователя</t>
  </si>
  <si>
    <t>Зарегистрировать пользователя, закрыть приложение, снова открыть приложение</t>
  </si>
  <si>
    <t>После повторного запуска пользователь может авторизоваться под созданной учетной записью</t>
  </si>
  <si>
    <t>Открытие формы авторизации</t>
  </si>
  <si>
    <t>Запустить приложение / открыть начальный экран</t>
  </si>
  <si>
    <t>Форма авторизации открывается, отображаются поля для ввода учетных данных и кнопка входа</t>
  </si>
  <si>
    <t>Существующий логин/e-mail и корректный пароль</t>
  </si>
  <si>
    <t>Пользователь успешно авторизуется и переходит в Main window</t>
  </si>
  <si>
    <t>Существующий логин/e-mail и неверный пароль</t>
  </si>
  <si>
    <t>Вход не выполняется, отображается сообщение об ошибке авторизации</t>
  </si>
  <si>
    <t>Вход с несуществующим логином</t>
  </si>
  <si>
    <t>Логин, отсутствующий в системе, и любой пароль</t>
  </si>
  <si>
    <t>Вход не выполняется, отображается сообщение о некорректных учетных данных</t>
  </si>
  <si>
    <t>Вход с пустым логином</t>
  </si>
  <si>
    <t>Оставить поле логина пустым, пароль заполнить</t>
  </si>
  <si>
    <t>Вход не выполняется, отображается сообщение о необходимости заполнить логин</t>
  </si>
  <si>
    <t>Вход с пустым паролем</t>
  </si>
  <si>
    <t>Заполнить логин, оставить поле пароля пустым</t>
  </si>
  <si>
    <t>Вход не выполняется, отображается сообщение о необходимости заполнить пароль</t>
  </si>
  <si>
    <t>Вход при пустых полях авторизации</t>
  </si>
  <si>
    <t>Оставить поля логина и пароля пустыми</t>
  </si>
  <si>
    <t>Вход не выполняется, отображается сообщение об ошибке заполнения обязательных полей</t>
  </si>
  <si>
    <t>Проверка чувствительности пароля к регистру</t>
  </si>
  <si>
    <t>Ввести корректный логин и пароль с измененным регистром букв</t>
  </si>
  <si>
    <t>Вход не выполняется, если пароль не совпадает с сохраненным значением</t>
  </si>
  <si>
    <t>Проверка авторизации после регистрации</t>
  </si>
  <si>
    <t>Сначала зарегистрировать нового пользователя, затем выполнить вход с его данными</t>
  </si>
  <si>
    <t>Пользователь успешно авторизуется после регистрации</t>
  </si>
  <si>
    <t>Проверка перехода в Main window после успешного входа</t>
  </si>
  <si>
    <t>Выполнить вход с корректными данными</t>
  </si>
  <si>
    <t>После авторизации открывается главное окно с кнопками Task 1–Task 5, Stat и Exit</t>
  </si>
  <si>
    <t>Проверка отсутствия перехода в Main window при ошибке входа</t>
  </si>
  <si>
    <t>Ввести неверные учетные данные и нажать кнопку входа</t>
  </si>
  <si>
    <t>Main window не открывается, пользователь остается на форме авторизации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</si>
</sst>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21" x14ac:knownFonts="1">
    <font>
      <sz val="11"/>
      <color rgb="FF000000"/>
      <name val="Calibri"/>
    </font>
    <font>
      <b/>
      <sz val="18"/>
      <color rgb="FF000000"/>
      <name val="Calibri"/>
    </font>
    <font>
      <u/>
      <sz val="11"/>
      <color rgb="FF1F497D"/>
      <name val="Calibri"/>
    </font>
    <font>
      <b/>
      <sz val="12"/>
      <color rgb="FF000000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u/>
      <sz val="11"/>
      <color rgb="FF0070C0"/>
      <name val="Calibri"/>
    </font>
    <font>
      <b/>
      <sz val="11"/>
      <color rgb="FF00B050"/>
      <name val="Calibri"/>
    </font>
    <font>
      <sz val="11"/>
      <color rgb="FFFF0000"/>
      <name val="Calibri"/>
    </font>
    <font>
      <sz val="11"/>
      <name val="Calibri"/>
    </font>
    <font>
      <u/>
      <sz val="11"/>
      <color rgb="FF0000FF"/>
      <name val="Calibri"/>
    </font>
    <font>
      <sz val="10"/>
      <name val="Times New Roman"/>
    </font>
    <font>
      <b/>
      <sz val="10"/>
      <name val="Times New Roman"/>
    </font>
    <font>
      <sz val="10"/>
      <color rgb="FF000000"/>
      <name val="Times New Roman"/>
    </font>
    <font>
      <sz val="11"/>
      <color rgb="FF000000"/>
      <name val="Calibri"/>
    </font>
    <font>
      <sz val="11"/>
      <color rgb="FFFF0000"/>
      <name val="Calibri"/>
      <family val="2"/>
      <charset val="204"/>
    </font>
    <font>
      <sz val="1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sz val="11"/>
      <color theme="0"/>
      <name val="Calibri"/>
      <family val="2"/>
      <charset val="204"/>
    </font>
    <font>
      <u/>
      <sz val="11"/>
      <color theme="10"/>
      <name val="Calibri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366092"/>
        <bgColor rgb="FF366092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C0C0C0"/>
        <bgColor rgb="FFC0C0C0"/>
      </patternFill>
    </fill>
    <fill>
      <patternFill patternType="solid">
        <fgColor rgb="FFFF0000"/>
        <bgColor rgb="FF92D050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0" fontId="14" fillId="0" borderId="14"/>
    <xf numFmtId="0" fontId="20" fillId="0" borderId="0" applyNumberFormat="0" applyFill="0" applyBorder="0" applyAlignment="0" applyProtection="0"/>
  </cellStyleXfs>
  <cellXfs count="194">
    <xf numFmtId="0" fontId="0" fillId="0" borderId="0" xfId="0" applyFont="1" applyAlignment="1"/>
    <xf numFmtId="0" fontId="0" fillId="2" borderId="1" xfId="0" applyFont="1" applyFill="1" applyBorder="1"/>
    <xf numFmtId="0" fontId="0" fillId="0" borderId="0" xfId="0" applyFont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2" borderId="1" xfId="0" applyFont="1" applyFill="1" applyBorder="1" applyAlignment="1">
      <alignment horizontal="left"/>
    </xf>
    <xf numFmtId="0" fontId="4" fillId="3" borderId="2" xfId="0" applyFont="1" applyFill="1" applyBorder="1" applyAlignment="1">
      <alignment wrapText="1"/>
    </xf>
    <xf numFmtId="0" fontId="0" fillId="0" borderId="2" xfId="0" applyFont="1" applyBorder="1"/>
    <xf numFmtId="0" fontId="0" fillId="2" borderId="2" xfId="0" applyFont="1" applyFill="1" applyBorder="1" applyAlignment="1">
      <alignment wrapText="1"/>
    </xf>
    <xf numFmtId="0" fontId="5" fillId="2" borderId="2" xfId="0" applyFont="1" applyFill="1" applyBorder="1" applyAlignment="1">
      <alignment horizontal="center" wrapText="1"/>
    </xf>
    <xf numFmtId="0" fontId="0" fillId="2" borderId="3" xfId="0" applyFont="1" applyFill="1" applyBorder="1" applyAlignment="1">
      <alignment wrapText="1"/>
    </xf>
    <xf numFmtId="0" fontId="7" fillId="2" borderId="5" xfId="0" applyFont="1" applyFill="1" applyBorder="1"/>
    <xf numFmtId="0" fontId="8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wrapText="1"/>
    </xf>
    <xf numFmtId="0" fontId="5" fillId="2" borderId="8" xfId="0" applyFont="1" applyFill="1" applyBorder="1" applyAlignment="1">
      <alignment horizontal="left" wrapText="1"/>
    </xf>
    <xf numFmtId="0" fontId="5" fillId="2" borderId="9" xfId="0" applyFont="1" applyFill="1" applyBorder="1" applyAlignment="1">
      <alignment horizontal="left" wrapText="1"/>
    </xf>
    <xf numFmtId="0" fontId="0" fillId="2" borderId="2" xfId="0" applyFont="1" applyFill="1" applyBorder="1"/>
    <xf numFmtId="0" fontId="0" fillId="2" borderId="1" xfId="0" applyFont="1" applyFill="1" applyBorder="1" applyAlignment="1">
      <alignment wrapText="1"/>
    </xf>
    <xf numFmtId="0" fontId="5" fillId="4" borderId="10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0" borderId="16" xfId="0" applyFont="1" applyBorder="1"/>
    <xf numFmtId="0" fontId="0" fillId="0" borderId="17" xfId="0" applyFont="1" applyBorder="1"/>
    <xf numFmtId="0" fontId="0" fillId="0" borderId="18" xfId="0" applyFont="1" applyBorder="1"/>
    <xf numFmtId="14" fontId="5" fillId="4" borderId="2" xfId="0" applyNumberFormat="1" applyFont="1" applyFill="1" applyBorder="1" applyAlignment="1">
      <alignment horizontal="center"/>
    </xf>
    <xf numFmtId="0" fontId="5" fillId="4" borderId="2" xfId="0" applyFont="1" applyFill="1" applyBorder="1"/>
    <xf numFmtId="0" fontId="11" fillId="6" borderId="19" xfId="0" applyFont="1" applyFill="1" applyBorder="1" applyAlignment="1">
      <alignment horizontal="center"/>
    </xf>
    <xf numFmtId="0" fontId="12" fillId="6" borderId="20" xfId="0" applyFont="1" applyFill="1" applyBorder="1" applyAlignment="1">
      <alignment horizontal="right"/>
    </xf>
    <xf numFmtId="0" fontId="11" fillId="0" borderId="21" xfId="0" applyFont="1" applyBorder="1" applyAlignment="1">
      <alignment horizontal="left" vertical="top" wrapText="1"/>
    </xf>
    <xf numFmtId="0" fontId="12" fillId="6" borderId="22" xfId="0" applyFont="1" applyFill="1" applyBorder="1" applyAlignment="1">
      <alignment horizontal="center"/>
    </xf>
    <xf numFmtId="0" fontId="12" fillId="6" borderId="23" xfId="0" applyFont="1" applyFill="1" applyBorder="1" applyAlignment="1">
      <alignment horizontal="center"/>
    </xf>
    <xf numFmtId="0" fontId="11" fillId="0" borderId="24" xfId="0" applyFont="1" applyBorder="1" applyAlignment="1">
      <alignment horizontal="center" wrapText="1"/>
    </xf>
    <xf numFmtId="0" fontId="11" fillId="6" borderId="25" xfId="0" applyFont="1" applyFill="1" applyBorder="1"/>
    <xf numFmtId="0" fontId="12" fillId="6" borderId="3" xfId="0" applyFont="1" applyFill="1" applyBorder="1" applyAlignment="1">
      <alignment horizontal="center"/>
    </xf>
    <xf numFmtId="0" fontId="12" fillId="6" borderId="8" xfId="0" applyFont="1" applyFill="1" applyBorder="1" applyAlignment="1">
      <alignment horizontal="center"/>
    </xf>
    <xf numFmtId="0" fontId="12" fillId="6" borderId="9" xfId="0" applyFont="1" applyFill="1" applyBorder="1" applyAlignment="1">
      <alignment horizontal="right"/>
    </xf>
    <xf numFmtId="0" fontId="12" fillId="6" borderId="3" xfId="0" applyFont="1" applyFill="1" applyBorder="1" applyAlignment="1">
      <alignment horizontal="center" wrapText="1"/>
    </xf>
    <xf numFmtId="0" fontId="11" fillId="6" borderId="28" xfId="0" applyFont="1" applyFill="1" applyBorder="1"/>
    <xf numFmtId="0" fontId="11" fillId="0" borderId="31" xfId="0" applyFont="1" applyBorder="1" applyAlignment="1">
      <alignment wrapText="1"/>
    </xf>
    <xf numFmtId="0" fontId="12" fillId="6" borderId="19" xfId="0" applyFont="1" applyFill="1" applyBorder="1" applyAlignment="1">
      <alignment horizontal="center"/>
    </xf>
    <xf numFmtId="0" fontId="11" fillId="0" borderId="21" xfId="0" applyFont="1" applyBorder="1" applyAlignment="1">
      <alignment horizontal="center" wrapText="1"/>
    </xf>
    <xf numFmtId="164" fontId="11" fillId="0" borderId="24" xfId="0" applyNumberFormat="1" applyFont="1" applyBorder="1" applyAlignment="1">
      <alignment horizont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 applyAlignment="1">
      <alignment horizontal="center"/>
    </xf>
    <xf numFmtId="0" fontId="11" fillId="0" borderId="32" xfId="0" applyFont="1" applyBorder="1"/>
    <xf numFmtId="0" fontId="12" fillId="0" borderId="32" xfId="0" applyFont="1" applyBorder="1" applyAlignment="1">
      <alignment horizontal="center"/>
    </xf>
    <xf numFmtId="0" fontId="0" fillId="0" borderId="32" xfId="0" applyFont="1" applyBorder="1"/>
    <xf numFmtId="0" fontId="11" fillId="0" borderId="0" xfId="0" applyFont="1" applyAlignment="1">
      <alignment horizontal="left" vertical="top" wrapText="1"/>
    </xf>
    <xf numFmtId="0" fontId="11" fillId="0" borderId="0" xfId="0" applyFont="1" applyAlignment="1">
      <alignment horizontal="left"/>
    </xf>
    <xf numFmtId="0" fontId="12" fillId="6" borderId="33" xfId="0" applyFont="1" applyFill="1" applyBorder="1" applyAlignment="1">
      <alignment horizontal="center"/>
    </xf>
    <xf numFmtId="0" fontId="12" fillId="6" borderId="34" xfId="0" applyFont="1" applyFill="1" applyBorder="1"/>
    <xf numFmtId="0" fontId="12" fillId="6" borderId="35" xfId="0" applyFont="1" applyFill="1" applyBorder="1" applyAlignment="1">
      <alignment horizontal="right"/>
    </xf>
    <xf numFmtId="0" fontId="12" fillId="6" borderId="35" xfId="0" applyFont="1" applyFill="1" applyBorder="1" applyAlignment="1">
      <alignment horizontal="center"/>
    </xf>
    <xf numFmtId="0" fontId="12" fillId="6" borderId="36" xfId="0" applyFont="1" applyFill="1" applyBorder="1" applyAlignment="1">
      <alignment horizontal="right"/>
    </xf>
    <xf numFmtId="9" fontId="12" fillId="6" borderId="37" xfId="0" applyNumberFormat="1" applyFont="1" applyFill="1" applyBorder="1"/>
    <xf numFmtId="0" fontId="12" fillId="6" borderId="38" xfId="0" applyFont="1" applyFill="1" applyBorder="1" applyAlignment="1">
      <alignment horizontal="center" textRotation="180"/>
    </xf>
    <xf numFmtId="0" fontId="12" fillId="6" borderId="35" xfId="0" applyFont="1" applyFill="1" applyBorder="1"/>
    <xf numFmtId="0" fontId="12" fillId="6" borderId="35" xfId="0" applyFont="1" applyFill="1" applyBorder="1" applyAlignment="1">
      <alignment horizontal="center" textRotation="180"/>
    </xf>
    <xf numFmtId="0" fontId="12" fillId="6" borderId="36" xfId="0" applyFont="1" applyFill="1" applyBorder="1"/>
    <xf numFmtId="0" fontId="12" fillId="6" borderId="37" xfId="0" applyFont="1" applyFill="1" applyBorder="1"/>
    <xf numFmtId="0" fontId="11" fillId="0" borderId="39" xfId="0" applyFont="1" applyBorder="1" applyAlignment="1">
      <alignment horizontal="center"/>
    </xf>
    <xf numFmtId="0" fontId="11" fillId="0" borderId="7" xfId="0" applyFont="1" applyBorder="1" applyAlignment="1">
      <alignment horizontal="left" vertical="top" wrapText="1"/>
    </xf>
    <xf numFmtId="0" fontId="12" fillId="0" borderId="7" xfId="0" applyFont="1" applyBorder="1" applyAlignment="1">
      <alignment horizontal="left" vertical="top" wrapText="1"/>
    </xf>
    <xf numFmtId="0" fontId="11" fillId="0" borderId="40" xfId="0" applyFont="1" applyBorder="1" applyAlignment="1">
      <alignment horizontal="left" vertical="top" wrapText="1"/>
    </xf>
    <xf numFmtId="0" fontId="11" fillId="0" borderId="41" xfId="0" applyFont="1" applyBorder="1" applyAlignment="1">
      <alignment horizontal="center"/>
    </xf>
    <xf numFmtId="0" fontId="11" fillId="0" borderId="2" xfId="0" applyFont="1" applyBorder="1" applyAlignment="1">
      <alignment horizontal="left" vertical="top" wrapText="1"/>
    </xf>
    <xf numFmtId="0" fontId="12" fillId="0" borderId="2" xfId="0" applyFont="1" applyBorder="1" applyAlignment="1">
      <alignment horizontal="left" vertical="top" wrapText="1"/>
    </xf>
    <xf numFmtId="0" fontId="11" fillId="0" borderId="42" xfId="0" applyFont="1" applyBorder="1" applyAlignment="1">
      <alignment horizontal="left" vertical="top" wrapText="1"/>
    </xf>
    <xf numFmtId="0" fontId="12" fillId="0" borderId="7" xfId="0" applyFont="1" applyBorder="1" applyAlignment="1">
      <alignment horizontal="left" vertical="top" wrapText="1"/>
    </xf>
    <xf numFmtId="0" fontId="11" fillId="0" borderId="31" xfId="0" applyFont="1" applyBorder="1" applyAlignment="1">
      <alignment horizontal="left" vertical="top" wrapText="1"/>
    </xf>
    <xf numFmtId="0" fontId="12" fillId="6" borderId="2" xfId="0" applyFont="1" applyFill="1" applyBorder="1" applyAlignment="1">
      <alignment horizontal="right"/>
    </xf>
    <xf numFmtId="0" fontId="0" fillId="0" borderId="31" xfId="0" applyFont="1" applyBorder="1"/>
    <xf numFmtId="0" fontId="0" fillId="0" borderId="44" xfId="0" applyFont="1" applyBorder="1"/>
    <xf numFmtId="0" fontId="13" fillId="0" borderId="2" xfId="0" applyFont="1" applyBorder="1" applyAlignment="1">
      <alignment horizontal="left" vertical="top" wrapText="1"/>
    </xf>
    <xf numFmtId="0" fontId="12" fillId="6" borderId="2" xfId="0" applyFont="1" applyFill="1" applyBorder="1" applyAlignment="1">
      <alignment horizontal="right" vertical="top"/>
    </xf>
    <xf numFmtId="0" fontId="3" fillId="0" borderId="0" xfId="0" applyFont="1"/>
    <xf numFmtId="14" fontId="0" fillId="0" borderId="0" xfId="0" applyNumberFormat="1" applyFont="1"/>
    <xf numFmtId="9" fontId="0" fillId="0" borderId="2" xfId="0" applyNumberFormat="1" applyFont="1" applyBorder="1"/>
    <xf numFmtId="10" fontId="0" fillId="0" borderId="2" xfId="0" applyNumberFormat="1" applyFont="1" applyBorder="1"/>
    <xf numFmtId="0" fontId="0" fillId="0" borderId="31" xfId="0" applyFont="1" applyBorder="1"/>
    <xf numFmtId="0" fontId="11" fillId="0" borderId="31" xfId="0" applyFont="1" applyBorder="1" applyAlignment="1">
      <alignment horizontal="left" vertical="top" wrapText="1"/>
    </xf>
    <xf numFmtId="0" fontId="0" fillId="0" borderId="31" xfId="0" applyFont="1" applyBorder="1"/>
    <xf numFmtId="0" fontId="12" fillId="6" borderId="24" xfId="0" applyFont="1" applyFill="1" applyBorder="1" applyAlignment="1">
      <alignment horizontal="center"/>
    </xf>
    <xf numFmtId="0" fontId="0" fillId="0" borderId="0" xfId="0"/>
    <xf numFmtId="0" fontId="12" fillId="6" borderId="31" xfId="0" applyFont="1" applyFill="1" applyBorder="1" applyAlignment="1">
      <alignment horizontal="center"/>
    </xf>
    <xf numFmtId="0" fontId="12" fillId="6" borderId="43" xfId="0" applyFont="1" applyFill="1" applyBorder="1" applyAlignment="1">
      <alignment horizontal="center"/>
    </xf>
    <xf numFmtId="0" fontId="12" fillId="6" borderId="44" xfId="0" applyFont="1" applyFill="1" applyBorder="1" applyAlignment="1">
      <alignment horizontal="right"/>
    </xf>
    <xf numFmtId="0" fontId="12" fillId="6" borderId="31" xfId="0" applyFont="1" applyFill="1" applyBorder="1" applyAlignment="1">
      <alignment horizontal="center" wrapText="1"/>
    </xf>
    <xf numFmtId="0" fontId="0" fillId="0" borderId="32" xfId="0" applyBorder="1"/>
    <xf numFmtId="0" fontId="0" fillId="0" borderId="31" xfId="0" applyBorder="1"/>
    <xf numFmtId="0" fontId="0" fillId="0" borderId="44" xfId="0" applyBorder="1"/>
    <xf numFmtId="0" fontId="0" fillId="0" borderId="2" xfId="0" applyBorder="1"/>
    <xf numFmtId="0" fontId="15" fillId="2" borderId="2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left" vertical="top" wrapText="1"/>
    </xf>
    <xf numFmtId="0" fontId="17" fillId="0" borderId="0" xfId="0" applyFont="1" applyAlignment="1"/>
    <xf numFmtId="0" fontId="18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wrapText="1"/>
    </xf>
    <xf numFmtId="0" fontId="17" fillId="2" borderId="2" xfId="0" applyFont="1" applyFill="1" applyBorder="1" applyAlignment="1">
      <alignment horizontal="left" wrapText="1"/>
    </xf>
    <xf numFmtId="0" fontId="17" fillId="2" borderId="2" xfId="0" applyFont="1" applyFill="1" applyBorder="1" applyAlignment="1">
      <alignment vertical="top" wrapText="1"/>
    </xf>
    <xf numFmtId="0" fontId="17" fillId="0" borderId="2" xfId="0" applyFont="1" applyBorder="1"/>
    <xf numFmtId="0" fontId="0" fillId="7" borderId="2" xfId="0" applyFont="1" applyFill="1" applyBorder="1"/>
    <xf numFmtId="0" fontId="0" fillId="0" borderId="4" xfId="0" applyFont="1" applyBorder="1"/>
    <xf numFmtId="0" fontId="17" fillId="0" borderId="47" xfId="0" applyFont="1" applyBorder="1" applyAlignment="1"/>
    <xf numFmtId="0" fontId="0" fillId="0" borderId="31" xfId="0" applyFont="1" applyBorder="1"/>
    <xf numFmtId="0" fontId="0" fillId="0" borderId="2" xfId="0" applyFont="1" applyFill="1" applyBorder="1"/>
    <xf numFmtId="0" fontId="0" fillId="0" borderId="47" xfId="0" applyFont="1" applyBorder="1" applyAlignment="1"/>
    <xf numFmtId="0" fontId="0" fillId="0" borderId="47" xfId="0" applyFont="1" applyBorder="1"/>
    <xf numFmtId="0" fontId="0" fillId="0" borderId="14" xfId="0" applyFont="1" applyBorder="1" applyAlignment="1"/>
    <xf numFmtId="0" fontId="0" fillId="7" borderId="4" xfId="0" applyFont="1" applyFill="1" applyBorder="1"/>
    <xf numFmtId="0" fontId="0" fillId="0" borderId="31" xfId="0" applyFont="1" applyBorder="1"/>
    <xf numFmtId="0" fontId="19" fillId="5" borderId="2" xfId="0" applyFont="1" applyFill="1" applyBorder="1"/>
    <xf numFmtId="0" fontId="19" fillId="8" borderId="2" xfId="0" applyFont="1" applyFill="1" applyBorder="1"/>
    <xf numFmtId="0" fontId="0" fillId="8" borderId="2" xfId="0" applyFont="1" applyFill="1" applyBorder="1"/>
    <xf numFmtId="0" fontId="0" fillId="9" borderId="2" xfId="0" applyFont="1" applyFill="1" applyBorder="1"/>
    <xf numFmtId="0" fontId="19" fillId="10" borderId="2" xfId="0" applyFont="1" applyFill="1" applyBorder="1"/>
    <xf numFmtId="0" fontId="19" fillId="7" borderId="4" xfId="0" applyFont="1" applyFill="1" applyBorder="1"/>
    <xf numFmtId="0" fontId="19" fillId="8" borderId="47" xfId="0" applyFont="1" applyFill="1" applyBorder="1"/>
    <xf numFmtId="0" fontId="17" fillId="10" borderId="2" xfId="0" applyFont="1" applyFill="1" applyBorder="1"/>
    <xf numFmtId="0" fontId="11" fillId="11" borderId="21" xfId="0" applyFont="1" applyFill="1" applyBorder="1" applyAlignment="1">
      <alignment horizontal="left" vertical="top" wrapText="1"/>
    </xf>
    <xf numFmtId="0" fontId="17" fillId="11" borderId="2" xfId="0" applyFont="1" applyFill="1" applyBorder="1"/>
    <xf numFmtId="0" fontId="0" fillId="11" borderId="2" xfId="0" applyFont="1" applyFill="1" applyBorder="1"/>
    <xf numFmtId="0" fontId="0" fillId="11" borderId="0" xfId="0" applyFont="1" applyFill="1" applyAlignment="1"/>
    <xf numFmtId="0" fontId="17" fillId="11" borderId="45" xfId="0" applyFont="1" applyFill="1" applyBorder="1" applyAlignment="1"/>
    <xf numFmtId="0" fontId="17" fillId="11" borderId="46" xfId="0" applyFont="1" applyFill="1" applyBorder="1" applyAlignment="1"/>
    <xf numFmtId="0" fontId="0" fillId="11" borderId="4" xfId="0" applyFont="1" applyFill="1" applyBorder="1"/>
    <xf numFmtId="0" fontId="17" fillId="11" borderId="6" xfId="0" applyFont="1" applyFill="1" applyBorder="1"/>
    <xf numFmtId="0" fontId="0" fillId="11" borderId="31" xfId="0" applyFont="1" applyFill="1" applyBorder="1"/>
    <xf numFmtId="0" fontId="0" fillId="11" borderId="47" xfId="0" applyFont="1" applyFill="1" applyBorder="1"/>
    <xf numFmtId="0" fontId="17" fillId="11" borderId="47" xfId="0" applyFont="1" applyFill="1" applyBorder="1"/>
    <xf numFmtId="0" fontId="0" fillId="11" borderId="44" xfId="0" applyFont="1" applyFill="1" applyBorder="1"/>
    <xf numFmtId="0" fontId="17" fillId="11" borderId="31" xfId="0" applyFont="1" applyFill="1" applyBorder="1"/>
    <xf numFmtId="0" fontId="17" fillId="12" borderId="0" xfId="0" applyFont="1" applyFill="1" applyAlignment="1"/>
    <xf numFmtId="0" fontId="17" fillId="12" borderId="2" xfId="0" applyFont="1" applyFill="1" applyBorder="1"/>
    <xf numFmtId="0" fontId="0" fillId="12" borderId="2" xfId="0" applyFont="1" applyFill="1" applyBorder="1"/>
    <xf numFmtId="0" fontId="0" fillId="12" borderId="0" xfId="0" applyFont="1" applyFill="1" applyAlignment="1"/>
    <xf numFmtId="0" fontId="0" fillId="12" borderId="4" xfId="0" applyFont="1" applyFill="1" applyBorder="1"/>
    <xf numFmtId="0" fontId="17" fillId="12" borderId="45" xfId="0" applyFont="1" applyFill="1" applyBorder="1" applyAlignment="1"/>
    <xf numFmtId="0" fontId="17" fillId="12" borderId="31" xfId="0" applyFont="1" applyFill="1" applyBorder="1"/>
    <xf numFmtId="0" fontId="17" fillId="12" borderId="47" xfId="0" applyFont="1" applyFill="1" applyBorder="1" applyAlignment="1"/>
    <xf numFmtId="0" fontId="17" fillId="12" borderId="44" xfId="0" applyFont="1" applyFill="1" applyBorder="1"/>
    <xf numFmtId="0" fontId="17" fillId="12" borderId="4" xfId="0" applyFont="1" applyFill="1" applyBorder="1"/>
    <xf numFmtId="0" fontId="0" fillId="12" borderId="44" xfId="0" applyFont="1" applyFill="1" applyBorder="1"/>
    <xf numFmtId="0" fontId="10" fillId="12" borderId="2" xfId="0" applyFont="1" applyFill="1" applyBorder="1"/>
    <xf numFmtId="0" fontId="0" fillId="12" borderId="14" xfId="0" applyFont="1" applyFill="1" applyBorder="1" applyAlignment="1"/>
    <xf numFmtId="0" fontId="0" fillId="12" borderId="10" xfId="0" applyFont="1" applyFill="1" applyBorder="1"/>
    <xf numFmtId="0" fontId="17" fillId="12" borderId="48" xfId="0" applyFont="1" applyFill="1" applyBorder="1" applyAlignment="1"/>
    <xf numFmtId="0" fontId="0" fillId="12" borderId="27" xfId="0" applyFont="1" applyFill="1" applyBorder="1"/>
    <xf numFmtId="0" fontId="0" fillId="12" borderId="47" xfId="0" applyFont="1" applyFill="1" applyBorder="1" applyAlignment="1"/>
    <xf numFmtId="0" fontId="0" fillId="13" borderId="14" xfId="0" applyFont="1" applyFill="1" applyBorder="1" applyAlignment="1"/>
    <xf numFmtId="0" fontId="17" fillId="13" borderId="47" xfId="0" applyFont="1" applyFill="1" applyBorder="1" applyAlignment="1"/>
    <xf numFmtId="0" fontId="0" fillId="13" borderId="47" xfId="0" applyFont="1" applyFill="1" applyBorder="1" applyAlignment="1"/>
    <xf numFmtId="0" fontId="0" fillId="13" borderId="0" xfId="0" applyFont="1" applyFill="1" applyAlignment="1"/>
    <xf numFmtId="0" fontId="17" fillId="11" borderId="50" xfId="0" applyFont="1" applyFill="1" applyBorder="1" applyAlignment="1"/>
    <xf numFmtId="0" fontId="19" fillId="8" borderId="4" xfId="0" applyFont="1" applyFill="1" applyBorder="1"/>
    <xf numFmtId="0" fontId="0" fillId="0" borderId="14" xfId="0" applyFont="1" applyBorder="1"/>
    <xf numFmtId="0" fontId="0" fillId="11" borderId="10" xfId="0" applyFont="1" applyFill="1" applyBorder="1"/>
    <xf numFmtId="0" fontId="17" fillId="11" borderId="47" xfId="0" applyFont="1" applyFill="1" applyBorder="1" applyAlignment="1"/>
    <xf numFmtId="0" fontId="17" fillId="11" borderId="44" xfId="0" applyFont="1" applyFill="1" applyBorder="1"/>
    <xf numFmtId="0" fontId="20" fillId="11" borderId="44" xfId="2" applyFill="1" applyBorder="1"/>
    <xf numFmtId="0" fontId="0" fillId="11" borderId="49" xfId="0" applyFont="1" applyFill="1" applyBorder="1"/>
    <xf numFmtId="0" fontId="17" fillId="11" borderId="30" xfId="0" applyFont="1" applyFill="1" applyBorder="1"/>
    <xf numFmtId="0" fontId="0" fillId="11" borderId="7" xfId="0" applyFont="1" applyFill="1" applyBorder="1"/>
    <xf numFmtId="0" fontId="0" fillId="9" borderId="0" xfId="0" applyFont="1" applyFill="1"/>
    <xf numFmtId="0" fontId="0" fillId="9" borderId="31" xfId="0" applyFont="1" applyFill="1" applyBorder="1"/>
    <xf numFmtId="0" fontId="17" fillId="9" borderId="47" xfId="0" applyFont="1" applyFill="1" applyBorder="1" applyAlignment="1"/>
    <xf numFmtId="0" fontId="0" fillId="9" borderId="0" xfId="0" applyFont="1" applyFill="1" applyAlignment="1"/>
    <xf numFmtId="0" fontId="0" fillId="9" borderId="7" xfId="0" applyFont="1" applyFill="1" applyBorder="1"/>
    <xf numFmtId="0" fontId="19" fillId="9" borderId="2" xfId="0" applyFont="1" applyFill="1" applyBorder="1"/>
    <xf numFmtId="0" fontId="0" fillId="9" borderId="47" xfId="0" applyFont="1" applyFill="1" applyBorder="1"/>
    <xf numFmtId="0" fontId="0" fillId="9" borderId="30" xfId="0" applyFont="1" applyFill="1" applyBorder="1"/>
    <xf numFmtId="0" fontId="0" fillId="10" borderId="2" xfId="0" applyFont="1" applyFill="1" applyBorder="1"/>
    <xf numFmtId="0" fontId="6" fillId="2" borderId="4" xfId="0" applyFont="1" applyFill="1" applyBorder="1" applyAlignment="1">
      <alignment wrapText="1"/>
    </xf>
    <xf numFmtId="0" fontId="9" fillId="0" borderId="6" xfId="0" applyFont="1" applyBorder="1"/>
    <xf numFmtId="0" fontId="5" fillId="4" borderId="13" xfId="0" applyFont="1" applyFill="1" applyBorder="1" applyAlignment="1">
      <alignment horizontal="center"/>
    </xf>
    <xf numFmtId="0" fontId="9" fillId="0" borderId="14" xfId="0" applyFont="1" applyBorder="1"/>
    <xf numFmtId="0" fontId="9" fillId="0" borderId="15" xfId="0" applyFont="1" applyBorder="1"/>
    <xf numFmtId="0" fontId="11" fillId="6" borderId="26" xfId="0" applyFont="1" applyFill="1" applyBorder="1" applyAlignment="1">
      <alignment horizontal="center"/>
    </xf>
    <xf numFmtId="0" fontId="9" fillId="0" borderId="29" xfId="0" applyFont="1" applyBorder="1"/>
    <xf numFmtId="0" fontId="12" fillId="6" borderId="27" xfId="0" applyFont="1" applyFill="1" applyBorder="1" applyAlignment="1">
      <alignment horizontal="right" vertical="top"/>
    </xf>
    <xf numFmtId="0" fontId="9" fillId="0" borderId="30" xfId="0" applyFont="1" applyBorder="1"/>
    <xf numFmtId="0" fontId="11" fillId="0" borderId="4" xfId="0" applyFont="1" applyBorder="1" applyAlignment="1">
      <alignment horizontal="left" vertical="top" wrapText="1"/>
    </xf>
    <xf numFmtId="0" fontId="9" fillId="0" borderId="7" xfId="0" applyFont="1" applyBorder="1"/>
    <xf numFmtId="0" fontId="0" fillId="0" borderId="31" xfId="0" applyFont="1" applyBorder="1"/>
    <xf numFmtId="0" fontId="9" fillId="0" borderId="43" xfId="0" applyFont="1" applyBorder="1"/>
    <xf numFmtId="0" fontId="9" fillId="0" borderId="44" xfId="0" applyFont="1" applyBorder="1"/>
    <xf numFmtId="0" fontId="11" fillId="0" borderId="31" xfId="0" applyFont="1" applyBorder="1" applyAlignment="1">
      <alignment horizontal="left" vertical="top" wrapText="1"/>
    </xf>
    <xf numFmtId="0" fontId="0" fillId="0" borderId="31" xfId="0" applyBorder="1"/>
    <xf numFmtId="0" fontId="11" fillId="0" borderId="43" xfId="0" applyFont="1" applyBorder="1" applyAlignment="1">
      <alignment horizontal="left" vertical="top" wrapText="1"/>
    </xf>
    <xf numFmtId="0" fontId="11" fillId="0" borderId="44" xfId="0" applyFont="1" applyBorder="1" applyAlignment="1">
      <alignment horizontal="left" vertical="top" wrapText="1"/>
    </xf>
    <xf numFmtId="0" fontId="0" fillId="0" borderId="43" xfId="0" applyBorder="1"/>
    <xf numFmtId="0" fontId="0" fillId="0" borderId="44" xfId="0" applyBorder="1"/>
  </cellXfs>
  <cellStyles count="3">
    <cellStyle name="Гиперссылка" xfId="2" builtinId="8"/>
    <cellStyle name="Обычный" xfId="0" builtinId="0"/>
    <cellStyle name="Обычный 2" xfId="1" xr:uid="{EF749E31-8181-4884-9C6A-F436E21199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user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9"/>
  <sheetViews>
    <sheetView workbookViewId="0">
      <selection activeCell="G12" sqref="G12"/>
    </sheetView>
  </sheetViews>
  <sheetFormatPr defaultColWidth="14.44140625" defaultRowHeight="15" customHeight="1" x14ac:dyDescent="0.3"/>
  <cols>
    <col min="1" max="1" width="9.109375" customWidth="1"/>
    <col min="2" max="2" width="44.5546875" customWidth="1"/>
    <col min="3" max="3" width="5.6640625" customWidth="1"/>
    <col min="4" max="4" width="58" customWidth="1"/>
    <col min="5" max="5" width="9.109375" customWidth="1"/>
    <col min="6" max="6" width="40.5546875" bestFit="1" customWidth="1"/>
    <col min="7" max="7" width="17.5546875" customWidth="1"/>
    <col min="8" max="8" width="10" customWidth="1"/>
    <col min="9" max="9" width="14.44140625" customWidth="1"/>
    <col min="10" max="10" width="13" customWidth="1"/>
    <col min="11" max="11" width="20.44140625" customWidth="1"/>
    <col min="12" max="31" width="9.109375" customWidth="1"/>
  </cols>
  <sheetData>
    <row r="1" spans="1:31" ht="14.4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23.4" x14ac:dyDescent="0.45">
      <c r="A2" s="1"/>
      <c r="B2" s="2"/>
      <c r="C2" s="3"/>
      <c r="D2" s="3" t="s">
        <v>142</v>
      </c>
      <c r="E2" s="3"/>
      <c r="F2" s="3"/>
      <c r="G2" s="4"/>
      <c r="H2" s="3"/>
      <c r="I2" s="3"/>
      <c r="J2" s="1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ht="15.6" x14ac:dyDescent="0.3">
      <c r="A3" s="1"/>
      <c r="B3" s="5" t="s">
        <v>0</v>
      </c>
      <c r="C3" s="1"/>
      <c r="D3" s="1"/>
      <c r="E3" s="1"/>
      <c r="F3" s="1"/>
      <c r="G3" s="4"/>
      <c r="H3" s="1"/>
      <c r="I3" s="1"/>
      <c r="J3" s="1"/>
      <c r="K3" s="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14.4" x14ac:dyDescent="0.3">
      <c r="A4" s="1"/>
      <c r="B4" s="6" t="s">
        <v>143</v>
      </c>
      <c r="C4" s="6"/>
      <c r="D4" s="6"/>
      <c r="E4" s="6"/>
      <c r="F4" s="6"/>
      <c r="G4" s="4"/>
      <c r="H4" s="6"/>
      <c r="I4" s="6"/>
      <c r="J4" s="1"/>
      <c r="K4" s="6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.4" x14ac:dyDescent="0.3">
      <c r="A5" s="1"/>
      <c r="B5" s="6"/>
      <c r="C5" s="6"/>
      <c r="D5" s="6"/>
      <c r="E5" s="6"/>
      <c r="F5" s="6"/>
      <c r="G5" s="1"/>
      <c r="H5" s="6"/>
      <c r="I5" s="6"/>
      <c r="J5" s="1"/>
      <c r="K5" s="6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4.4" x14ac:dyDescent="0.3">
      <c r="A6" s="1"/>
      <c r="B6" s="6" t="s">
        <v>1</v>
      </c>
      <c r="C6" s="6"/>
      <c r="D6" s="6"/>
      <c r="E6" s="6"/>
      <c r="F6" s="6"/>
      <c r="G6" s="1"/>
      <c r="H6" s="6"/>
      <c r="I6" s="6"/>
      <c r="J6" s="1"/>
      <c r="K6" s="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4.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14.4" x14ac:dyDescent="0.3">
      <c r="A8" s="1"/>
      <c r="B8" s="1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thickBot="1" x14ac:dyDescent="0.35">
      <c r="A9" s="7" t="s">
        <v>3</v>
      </c>
      <c r="B9" s="7" t="s">
        <v>4</v>
      </c>
      <c r="C9" s="7" t="s">
        <v>5</v>
      </c>
      <c r="D9" s="7" t="s">
        <v>6</v>
      </c>
      <c r="E9" s="7" t="s">
        <v>7</v>
      </c>
      <c r="F9" s="7" t="s">
        <v>8</v>
      </c>
      <c r="G9" s="7" t="s">
        <v>9</v>
      </c>
      <c r="H9" s="7" t="s">
        <v>10</v>
      </c>
      <c r="I9" s="7" t="s">
        <v>11</v>
      </c>
      <c r="J9" s="7" t="s">
        <v>12</v>
      </c>
      <c r="K9" s="7" t="s">
        <v>13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43.2" x14ac:dyDescent="0.3">
      <c r="A10" s="8"/>
      <c r="B10" s="30" t="s">
        <v>150</v>
      </c>
      <c r="C10" s="95">
        <v>1</v>
      </c>
      <c r="D10" s="96" t="s">
        <v>164</v>
      </c>
      <c r="E10" s="10">
        <v>1</v>
      </c>
      <c r="F10" s="97" t="s">
        <v>167</v>
      </c>
      <c r="G10" s="11" t="s">
        <v>170</v>
      </c>
      <c r="H10" s="10"/>
      <c r="I10" s="10"/>
      <c r="J10" s="10"/>
      <c r="K10" s="174" t="s">
        <v>14</v>
      </c>
      <c r="L10" s="1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ht="57.6" x14ac:dyDescent="0.3">
      <c r="A11" s="8"/>
      <c r="B11" s="97" t="s">
        <v>161</v>
      </c>
      <c r="C11" s="98">
        <v>2</v>
      </c>
      <c r="D11" s="99" t="s">
        <v>165</v>
      </c>
      <c r="E11" s="10">
        <v>1.5</v>
      </c>
      <c r="F11" s="100" t="s">
        <v>168</v>
      </c>
      <c r="G11" s="11" t="s">
        <v>170</v>
      </c>
      <c r="H11" s="10"/>
      <c r="I11" s="10"/>
      <c r="J11" s="10"/>
      <c r="K11" s="175"/>
      <c r="L11" s="1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ht="57.6" x14ac:dyDescent="0.3">
      <c r="A12" s="8"/>
      <c r="B12" s="101" t="s">
        <v>162</v>
      </c>
      <c r="C12" s="13">
        <v>1</v>
      </c>
      <c r="D12" s="97" t="s">
        <v>166</v>
      </c>
      <c r="E12" s="10">
        <v>1</v>
      </c>
      <c r="F12" s="100" t="s">
        <v>169</v>
      </c>
      <c r="G12" s="11" t="s">
        <v>163</v>
      </c>
      <c r="H12" s="10"/>
      <c r="I12" s="10"/>
      <c r="J12" s="10"/>
      <c r="K12" s="175"/>
      <c r="L12" s="1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14.4" x14ac:dyDescent="0.3">
      <c r="A13" s="14" t="s">
        <v>15</v>
      </c>
      <c r="B13" s="8"/>
      <c r="C13" s="15"/>
      <c r="D13" s="16"/>
      <c r="E13" s="10">
        <f>SUM(E10:E12)</f>
        <v>3.5</v>
      </c>
      <c r="F13" s="10"/>
      <c r="G13" s="17"/>
      <c r="H13" s="10"/>
      <c r="I13" s="10"/>
      <c r="J13" s="9"/>
      <c r="K13" s="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ht="14.4" x14ac:dyDescent="0.3">
      <c r="A14" s="1"/>
      <c r="B14" s="18"/>
      <c r="C14" s="18"/>
      <c r="D14" s="18"/>
      <c r="E14" s="18"/>
      <c r="F14" s="18"/>
      <c r="G14" s="1"/>
      <c r="H14" s="18"/>
      <c r="I14" s="18"/>
      <c r="J14" s="18"/>
      <c r="K14" s="18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ht="14.4" x14ac:dyDescent="0.3">
      <c r="A15" s="1"/>
      <c r="B15" s="18"/>
      <c r="C15" s="18"/>
      <c r="D15" s="18"/>
      <c r="E15" s="18"/>
      <c r="F15" s="18"/>
      <c r="G15" s="1"/>
      <c r="H15" s="18"/>
      <c r="I15" s="18"/>
      <c r="J15" s="18"/>
      <c r="K15" s="18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14.4" x14ac:dyDescent="0.3">
      <c r="A16" s="1"/>
      <c r="B16" s="18"/>
      <c r="C16" s="18"/>
      <c r="D16" s="18"/>
      <c r="E16" s="18"/>
      <c r="F16" s="18"/>
      <c r="G16" s="1"/>
      <c r="H16" s="18"/>
      <c r="I16" s="18"/>
      <c r="J16" s="18"/>
      <c r="K16" s="18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ht="14.4" x14ac:dyDescent="0.3">
      <c r="A17" s="1"/>
      <c r="B17" s="18"/>
      <c r="C17" s="18"/>
      <c r="D17" s="18"/>
      <c r="E17" s="18"/>
      <c r="F17" s="18"/>
      <c r="G17" s="1"/>
      <c r="H17" s="18"/>
      <c r="I17" s="18"/>
      <c r="J17" s="18"/>
      <c r="K17" s="18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ht="14.4" x14ac:dyDescent="0.3">
      <c r="A18" s="1"/>
      <c r="B18" s="18"/>
      <c r="C18" s="18"/>
      <c r="D18" s="18"/>
      <c r="E18" s="18"/>
      <c r="F18" s="18"/>
      <c r="G18" s="1"/>
      <c r="H18" s="18"/>
      <c r="I18" s="18"/>
      <c r="J18" s="18"/>
      <c r="K18" s="18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ht="14.4" x14ac:dyDescent="0.3">
      <c r="A19" s="1"/>
      <c r="B19" s="18"/>
      <c r="C19" s="1"/>
      <c r="D19" s="1"/>
      <c r="E19" s="1"/>
      <c r="F19" s="1"/>
      <c r="G19" s="1"/>
      <c r="H19" s="1"/>
      <c r="I19" s="18"/>
      <c r="J19" s="18"/>
      <c r="K19" s="18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15.75" customHeight="1" x14ac:dyDescent="0.3">
      <c r="A20" s="1"/>
      <c r="B20" s="18"/>
      <c r="C20" s="18"/>
      <c r="D20" s="18"/>
      <c r="E20" s="18"/>
      <c r="F20" s="18"/>
      <c r="G20" s="1"/>
      <c r="H20" s="18"/>
      <c r="I20" s="18"/>
      <c r="J20" s="18"/>
      <c r="K20" s="18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ht="15.75" customHeight="1" x14ac:dyDescent="0.3">
      <c r="A21" s="1"/>
      <c r="B21" s="18"/>
      <c r="C21" s="18"/>
      <c r="D21" s="18"/>
      <c r="E21" s="18"/>
      <c r="F21" s="18"/>
      <c r="G21" s="1"/>
      <c r="H21" s="18"/>
      <c r="I21" s="18"/>
      <c r="J21" s="18"/>
      <c r="K21" s="18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15.75" customHeight="1" x14ac:dyDescent="0.3">
      <c r="A22" s="1"/>
      <c r="B22" s="18"/>
      <c r="C22" s="18"/>
      <c r="D22" s="18"/>
      <c r="E22" s="18"/>
      <c r="F22" s="18"/>
      <c r="G22" s="1"/>
      <c r="H22" s="18"/>
      <c r="I22" s="18"/>
      <c r="J22" s="18"/>
      <c r="K22" s="18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ht="15.75" customHeight="1" x14ac:dyDescent="0.3">
      <c r="A23" s="1"/>
      <c r="B23" s="18"/>
      <c r="C23" s="18"/>
      <c r="D23" s="18"/>
      <c r="E23" s="18"/>
      <c r="F23" s="18"/>
      <c r="G23" s="1"/>
      <c r="H23" s="18"/>
      <c r="I23" s="18"/>
      <c r="J23" s="18"/>
      <c r="K23" s="18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ht="15.75" customHeight="1" x14ac:dyDescent="0.3">
      <c r="A24" s="2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5.75" customHeight="1" x14ac:dyDescent="0.3">
      <c r="A25" s="2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5.75" customHeight="1" x14ac:dyDescent="0.3">
      <c r="A26" s="2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5.75" customHeight="1" x14ac:dyDescent="0.3">
      <c r="A27" s="2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ht="15.75" customHeight="1" x14ac:dyDescent="0.3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ht="15.75" customHeight="1" x14ac:dyDescent="0.3">
      <c r="A29" s="2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ht="15.75" customHeight="1" x14ac:dyDescent="0.3">
      <c r="A30" s="2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ht="15.75" customHeight="1" x14ac:dyDescent="0.3">
      <c r="A31" s="2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15.75" customHeight="1" x14ac:dyDescent="0.3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ht="15.75" customHeight="1" x14ac:dyDescent="0.3">
      <c r="A33" s="2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15.75" customHeight="1" x14ac:dyDescent="0.3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15.75" customHeight="1" x14ac:dyDescent="0.3">
      <c r="A35" s="2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ht="15.75" customHeight="1" x14ac:dyDescent="0.3">
      <c r="A36" s="2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15.75" customHeight="1" x14ac:dyDescent="0.3">
      <c r="A37" s="2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15.75" customHeight="1" x14ac:dyDescent="0.3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ht="15.75" customHeight="1" x14ac:dyDescent="0.3">
      <c r="A39" s="2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15.75" customHeight="1" x14ac:dyDescent="0.3">
      <c r="A40" s="2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5.75" customHeight="1" x14ac:dyDescent="0.3">
      <c r="A41" s="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ht="15.75" customHeight="1" x14ac:dyDescent="0.3">
      <c r="A42" s="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5.75" customHeight="1" x14ac:dyDescent="0.3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15.75" customHeight="1" x14ac:dyDescent="0.3">
      <c r="A44" s="2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5.75" customHeight="1" x14ac:dyDescent="0.3">
      <c r="A45" s="2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5.75" customHeight="1" x14ac:dyDescent="0.3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5.75" customHeight="1" x14ac:dyDescent="0.3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5.75" customHeight="1" x14ac:dyDescent="0.3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5.75" customHeight="1" x14ac:dyDescent="0.3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5.75" customHeight="1" x14ac:dyDescent="0.3">
      <c r="A50" s="2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5.75" customHeight="1" x14ac:dyDescent="0.3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5.75" customHeight="1" x14ac:dyDescent="0.3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15.75" customHeight="1" x14ac:dyDescent="0.3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15.75" customHeight="1" x14ac:dyDescent="0.3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15.75" customHeight="1" x14ac:dyDescent="0.3">
      <c r="A55" s="2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5.75" customHeight="1" x14ac:dyDescent="0.3">
      <c r="A56" s="2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5.75" customHeight="1" x14ac:dyDescent="0.3">
      <c r="A57" s="2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5.75" customHeight="1" x14ac:dyDescent="0.3">
      <c r="A58" s="2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5.75" customHeight="1" x14ac:dyDescent="0.3">
      <c r="A59" s="2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5.75" customHeight="1" x14ac:dyDescent="0.3">
      <c r="A60" s="2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5.75" customHeight="1" x14ac:dyDescent="0.3">
      <c r="A61" s="2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5.75" customHeight="1" x14ac:dyDescent="0.3">
      <c r="A62" s="2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5.75" customHeight="1" x14ac:dyDescent="0.3">
      <c r="A63" s="2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.75" customHeight="1" x14ac:dyDescent="0.3">
      <c r="A64" s="2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5.75" customHeight="1" x14ac:dyDescent="0.3">
      <c r="A65" s="2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5.75" customHeight="1" x14ac:dyDescent="0.3">
      <c r="A66" s="2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5.75" customHeight="1" x14ac:dyDescent="0.3">
      <c r="A67" s="2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5.75" customHeight="1" x14ac:dyDescent="0.3">
      <c r="A68" s="2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5.75" customHeight="1" x14ac:dyDescent="0.3">
      <c r="A69" s="2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.75" customHeight="1" x14ac:dyDescent="0.3">
      <c r="A70" s="2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5.75" customHeight="1" x14ac:dyDescent="0.3">
      <c r="A71" s="2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5.75" customHeight="1" x14ac:dyDescent="0.3">
      <c r="A72" s="2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ht="15.75" customHeight="1" x14ac:dyDescent="0.3">
      <c r="A73" s="2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5.75" customHeight="1" x14ac:dyDescent="0.3">
      <c r="A74" s="2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5.75" customHeight="1" x14ac:dyDescent="0.3">
      <c r="A75" s="2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5.75" customHeight="1" x14ac:dyDescent="0.3">
      <c r="A76" s="2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5.75" customHeight="1" x14ac:dyDescent="0.3">
      <c r="A77" s="2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5.75" customHeight="1" x14ac:dyDescent="0.3">
      <c r="A78" s="2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5.75" customHeight="1" x14ac:dyDescent="0.3">
      <c r="A79" s="2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ht="15.75" customHeight="1" x14ac:dyDescent="0.3">
      <c r="A80" s="2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15.75" customHeight="1" x14ac:dyDescent="0.3">
      <c r="A81" s="2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ht="15.75" customHeight="1" x14ac:dyDescent="0.3">
      <c r="A82" s="2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ht="15.75" customHeight="1" x14ac:dyDescent="0.3">
      <c r="A83" s="2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ht="15.75" customHeight="1" x14ac:dyDescent="0.3">
      <c r="A84" s="2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ht="15.75" customHeight="1" x14ac:dyDescent="0.3">
      <c r="A85" s="2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15.75" customHeight="1" x14ac:dyDescent="0.3">
      <c r="A86" s="2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15.75" customHeight="1" x14ac:dyDescent="0.3">
      <c r="A87" s="2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15.75" customHeight="1" x14ac:dyDescent="0.3">
      <c r="A88" s="2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ht="15.75" customHeight="1" x14ac:dyDescent="0.3">
      <c r="A89" s="2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ht="15.75" customHeight="1" x14ac:dyDescent="0.3">
      <c r="A90" s="2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ht="15.75" customHeight="1" x14ac:dyDescent="0.3">
      <c r="A91" s="2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15.75" customHeight="1" x14ac:dyDescent="0.3">
      <c r="A92" s="2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ht="15.75" customHeight="1" x14ac:dyDescent="0.3">
      <c r="A93" s="2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ht="15.75" customHeight="1" x14ac:dyDescent="0.3">
      <c r="A94" s="2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ht="15.75" customHeight="1" x14ac:dyDescent="0.3">
      <c r="A95" s="2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ht="15.75" customHeight="1" x14ac:dyDescent="0.3">
      <c r="A96" s="2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ht="15.75" customHeight="1" x14ac:dyDescent="0.3">
      <c r="A97" s="2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ht="15.75" customHeight="1" x14ac:dyDescent="0.3">
      <c r="A98" s="2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ht="15.75" customHeight="1" x14ac:dyDescent="0.3">
      <c r="A99" s="2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ht="15.75" customHeight="1" x14ac:dyDescent="0.3">
      <c r="A100" s="2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ht="15.75" customHeight="1" x14ac:dyDescent="0.3">
      <c r="A101" s="2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15.75" customHeight="1" x14ac:dyDescent="0.3">
      <c r="A102" s="2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15.75" customHeight="1" x14ac:dyDescent="0.3">
      <c r="A103" s="2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15.75" customHeight="1" x14ac:dyDescent="0.3">
      <c r="A104" s="2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15.75" customHeight="1" x14ac:dyDescent="0.3">
      <c r="A105" s="2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15.75" customHeight="1" x14ac:dyDescent="0.3">
      <c r="A106" s="2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15.75" customHeight="1" x14ac:dyDescent="0.3">
      <c r="A107" s="2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5.75" customHeight="1" x14ac:dyDescent="0.3">
      <c r="A108" s="2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15.75" customHeight="1" x14ac:dyDescent="0.3">
      <c r="A109" s="2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75" customHeight="1" x14ac:dyDescent="0.3">
      <c r="A110" s="2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75" customHeight="1" x14ac:dyDescent="0.3">
      <c r="A111" s="2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75" customHeight="1" x14ac:dyDescent="0.3">
      <c r="A112" s="2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75" customHeight="1" x14ac:dyDescent="0.3">
      <c r="A113" s="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75" customHeight="1" x14ac:dyDescent="0.3">
      <c r="A114" s="2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75" customHeight="1" x14ac:dyDescent="0.3">
      <c r="A115" s="2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75" customHeight="1" x14ac:dyDescent="0.3">
      <c r="A116" s="2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75" customHeight="1" x14ac:dyDescent="0.3">
      <c r="A117" s="2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75" customHeight="1" x14ac:dyDescent="0.3">
      <c r="A118" s="2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75" customHeight="1" x14ac:dyDescent="0.3">
      <c r="A119" s="2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75" customHeight="1" x14ac:dyDescent="0.3">
      <c r="A120" s="2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5.75" customHeight="1" x14ac:dyDescent="0.3">
      <c r="A121" s="2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5.75" customHeight="1" x14ac:dyDescent="0.3">
      <c r="A122" s="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5.75" customHeight="1" x14ac:dyDescent="0.3">
      <c r="A123" s="2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5.75" customHeight="1" x14ac:dyDescent="0.3">
      <c r="A124" s="2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5.75" customHeight="1" x14ac:dyDescent="0.3">
      <c r="A125" s="2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5.75" customHeight="1" x14ac:dyDescent="0.3">
      <c r="A126" s="2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5.75" customHeight="1" x14ac:dyDescent="0.3">
      <c r="A127" s="2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5.75" customHeight="1" x14ac:dyDescent="0.3">
      <c r="A128" s="2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5.75" customHeight="1" x14ac:dyDescent="0.3">
      <c r="A129" s="2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5.75" customHeight="1" x14ac:dyDescent="0.3">
      <c r="A130" s="2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5.75" customHeight="1" x14ac:dyDescent="0.3">
      <c r="A131" s="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5.75" customHeight="1" x14ac:dyDescent="0.3">
      <c r="A132" s="2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15.75" customHeight="1" x14ac:dyDescent="0.3">
      <c r="A133" s="2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5.75" customHeight="1" x14ac:dyDescent="0.3">
      <c r="A134" s="2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5.75" customHeight="1" x14ac:dyDescent="0.3">
      <c r="A135" s="2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5.75" customHeight="1" x14ac:dyDescent="0.3">
      <c r="A136" s="2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5.75" customHeight="1" x14ac:dyDescent="0.3">
      <c r="A137" s="2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5.75" customHeight="1" x14ac:dyDescent="0.3">
      <c r="A138" s="2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5.75" customHeight="1" x14ac:dyDescent="0.3">
      <c r="A139" s="2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5.75" customHeight="1" x14ac:dyDescent="0.3">
      <c r="A140" s="2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5.75" customHeight="1" x14ac:dyDescent="0.3">
      <c r="A141" s="2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5.75" customHeight="1" x14ac:dyDescent="0.3">
      <c r="A142" s="2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5.75" customHeight="1" x14ac:dyDescent="0.3">
      <c r="A143" s="2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5.75" customHeight="1" x14ac:dyDescent="0.3">
      <c r="A144" s="2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5.75" customHeight="1" x14ac:dyDescent="0.3">
      <c r="A145" s="2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5.75" customHeight="1" x14ac:dyDescent="0.3">
      <c r="A146" s="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5.75" customHeight="1" x14ac:dyDescent="0.3">
      <c r="A147" s="2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5.75" customHeight="1" x14ac:dyDescent="0.3">
      <c r="A148" s="2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5.75" customHeight="1" x14ac:dyDescent="0.3">
      <c r="A149" s="2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5.75" customHeight="1" x14ac:dyDescent="0.3">
      <c r="A150" s="2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5.75" customHeight="1" x14ac:dyDescent="0.3">
      <c r="A151" s="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5.75" customHeight="1" x14ac:dyDescent="0.3">
      <c r="A152" s="2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5.75" customHeight="1" x14ac:dyDescent="0.3">
      <c r="A153" s="2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5.75" customHeight="1" x14ac:dyDescent="0.3">
      <c r="A154" s="2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5.75" customHeight="1" x14ac:dyDescent="0.3">
      <c r="A155" s="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5.75" customHeight="1" x14ac:dyDescent="0.3">
      <c r="A156" s="2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5.75" customHeight="1" x14ac:dyDescent="0.3">
      <c r="A157" s="2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5.75" customHeight="1" x14ac:dyDescent="0.3">
      <c r="A158" s="2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5.75" customHeight="1" x14ac:dyDescent="0.3">
      <c r="A159" s="2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5.75" customHeight="1" x14ac:dyDescent="0.3">
      <c r="A160" s="2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5.75" customHeight="1" x14ac:dyDescent="0.3">
      <c r="A161" s="2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5.75" customHeight="1" x14ac:dyDescent="0.3">
      <c r="A162" s="2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5.75" customHeight="1" x14ac:dyDescent="0.3">
      <c r="A163" s="2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5.75" customHeight="1" x14ac:dyDescent="0.3">
      <c r="A164" s="2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5.75" customHeight="1" x14ac:dyDescent="0.3">
      <c r="A165" s="2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5.75" customHeight="1" x14ac:dyDescent="0.3">
      <c r="A166" s="2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5.75" customHeight="1" x14ac:dyDescent="0.3">
      <c r="A167" s="2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5.75" customHeight="1" x14ac:dyDescent="0.3">
      <c r="A168" s="2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5.75" customHeight="1" x14ac:dyDescent="0.3">
      <c r="A169" s="2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5.75" customHeight="1" x14ac:dyDescent="0.3">
      <c r="A170" s="2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5.75" customHeight="1" x14ac:dyDescent="0.3">
      <c r="A171" s="2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5.75" customHeight="1" x14ac:dyDescent="0.3">
      <c r="A172" s="2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5.75" customHeight="1" x14ac:dyDescent="0.3">
      <c r="A173" s="2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5.75" customHeight="1" x14ac:dyDescent="0.3">
      <c r="A174" s="2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5.75" customHeight="1" x14ac:dyDescent="0.3">
      <c r="A175" s="2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5.75" customHeight="1" x14ac:dyDescent="0.3">
      <c r="A176" s="2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5.75" customHeight="1" x14ac:dyDescent="0.3">
      <c r="A177" s="2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5.75" customHeight="1" x14ac:dyDescent="0.3">
      <c r="A178" s="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5.75" customHeight="1" x14ac:dyDescent="0.3">
      <c r="A179" s="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5.75" customHeight="1" x14ac:dyDescent="0.3">
      <c r="A180" s="2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5.75" customHeight="1" x14ac:dyDescent="0.3">
      <c r="A181" s="2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5.75" customHeight="1" x14ac:dyDescent="0.3">
      <c r="A182" s="2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5.75" customHeight="1" x14ac:dyDescent="0.3">
      <c r="A183" s="2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5.75" customHeight="1" x14ac:dyDescent="0.3">
      <c r="A184" s="2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5.75" customHeight="1" x14ac:dyDescent="0.3">
      <c r="A185" s="2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5.75" customHeight="1" x14ac:dyDescent="0.3">
      <c r="A186" s="2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5.75" customHeight="1" x14ac:dyDescent="0.3">
      <c r="A187" s="2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5.75" customHeight="1" x14ac:dyDescent="0.3">
      <c r="A188" s="2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5.75" customHeight="1" x14ac:dyDescent="0.3">
      <c r="A189" s="2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5.75" customHeight="1" x14ac:dyDescent="0.3">
      <c r="A190" s="2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5.75" customHeight="1" x14ac:dyDescent="0.3">
      <c r="A191" s="2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5.75" customHeight="1" x14ac:dyDescent="0.3">
      <c r="A192" s="2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5.75" customHeight="1" x14ac:dyDescent="0.3">
      <c r="A193" s="2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5.75" customHeight="1" x14ac:dyDescent="0.3">
      <c r="A194" s="2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5.75" customHeight="1" x14ac:dyDescent="0.3">
      <c r="A195" s="2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5.75" customHeight="1" x14ac:dyDescent="0.3">
      <c r="A196" s="2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5.75" customHeight="1" x14ac:dyDescent="0.3">
      <c r="A197" s="2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5.75" customHeight="1" x14ac:dyDescent="0.3">
      <c r="A198" s="2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5.75" customHeight="1" x14ac:dyDescent="0.3">
      <c r="A199" s="2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5.75" customHeight="1" x14ac:dyDescent="0.3">
      <c r="A200" s="2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5.75" customHeight="1" x14ac:dyDescent="0.3">
      <c r="A201" s="2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5.75" customHeight="1" x14ac:dyDescent="0.3">
      <c r="A202" s="2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5.75" customHeight="1" x14ac:dyDescent="0.3">
      <c r="A203" s="2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5.75" customHeight="1" x14ac:dyDescent="0.3">
      <c r="A204" s="2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5.75" customHeight="1" x14ac:dyDescent="0.3">
      <c r="A205" s="2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5.75" customHeight="1" x14ac:dyDescent="0.3">
      <c r="A206" s="2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5.75" customHeight="1" x14ac:dyDescent="0.3">
      <c r="A207" s="2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5.75" customHeight="1" x14ac:dyDescent="0.3">
      <c r="A208" s="2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5.75" customHeight="1" x14ac:dyDescent="0.3">
      <c r="A209" s="2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5.75" customHeight="1" x14ac:dyDescent="0.3">
      <c r="A210" s="2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5.75" customHeight="1" x14ac:dyDescent="0.3">
      <c r="A211" s="2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5.75" customHeight="1" x14ac:dyDescent="0.3">
      <c r="A212" s="2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5.75" customHeight="1" x14ac:dyDescent="0.3">
      <c r="A213" s="2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5.75" customHeight="1" x14ac:dyDescent="0.3">
      <c r="A214" s="2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5.75" customHeight="1" x14ac:dyDescent="0.3">
      <c r="A215" s="2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5.75" customHeight="1" x14ac:dyDescent="0.3">
      <c r="A216" s="2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5.75" customHeight="1" x14ac:dyDescent="0.3">
      <c r="A217" s="2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5.75" customHeight="1" x14ac:dyDescent="0.3">
      <c r="A218" s="2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5.75" customHeight="1" x14ac:dyDescent="0.3">
      <c r="A219" s="2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5.75" customHeight="1" x14ac:dyDescent="0.3">
      <c r="A220" s="2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5.75" customHeight="1" x14ac:dyDescent="0.3">
      <c r="A221" s="2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5.75" customHeight="1" x14ac:dyDescent="0.3">
      <c r="A222" s="2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5.75" customHeight="1" x14ac:dyDescent="0.3">
      <c r="A223" s="2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5.75" customHeight="1" x14ac:dyDescent="0.3">
      <c r="A224" s="2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5.75" customHeight="1" x14ac:dyDescent="0.3">
      <c r="A225" s="2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5.75" customHeight="1" x14ac:dyDescent="0.3">
      <c r="A226" s="2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5.75" customHeight="1" x14ac:dyDescent="0.3">
      <c r="A227" s="2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5.75" customHeight="1" x14ac:dyDescent="0.3">
      <c r="A228" s="2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5.75" customHeight="1" x14ac:dyDescent="0.3">
      <c r="A229" s="2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5.75" customHeight="1" x14ac:dyDescent="0.3">
      <c r="A230" s="2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5.75" customHeight="1" x14ac:dyDescent="0.3">
      <c r="A231" s="2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5.75" customHeight="1" x14ac:dyDescent="0.3">
      <c r="A232" s="2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5.75" customHeight="1" x14ac:dyDescent="0.3">
      <c r="A233" s="2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5.75" customHeight="1" x14ac:dyDescent="0.3">
      <c r="A234" s="2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5.75" customHeight="1" x14ac:dyDescent="0.3">
      <c r="A235" s="2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5.75" customHeight="1" x14ac:dyDescent="0.3">
      <c r="A236" s="2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5.75" customHeight="1" x14ac:dyDescent="0.3">
      <c r="A237" s="2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5.75" customHeight="1" x14ac:dyDescent="0.3">
      <c r="A238" s="2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5.75" customHeight="1" x14ac:dyDescent="0.3">
      <c r="A239" s="2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5.75" customHeight="1" x14ac:dyDescent="0.3">
      <c r="A240" s="2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5.75" customHeight="1" x14ac:dyDescent="0.3">
      <c r="A241" s="2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5.75" customHeight="1" x14ac:dyDescent="0.3">
      <c r="A242" s="2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5.75" customHeight="1" x14ac:dyDescent="0.3">
      <c r="A243" s="2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5.75" customHeight="1" x14ac:dyDescent="0.3">
      <c r="A244" s="2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5.75" customHeight="1" x14ac:dyDescent="0.3">
      <c r="A245" s="2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5.75" customHeight="1" x14ac:dyDescent="0.3">
      <c r="A246" s="2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5.75" customHeight="1" x14ac:dyDescent="0.3">
      <c r="A247" s="2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5.75" customHeight="1" x14ac:dyDescent="0.3">
      <c r="A248" s="2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 ht="15.75" customHeight="1" x14ac:dyDescent="0.3">
      <c r="A249" s="2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 ht="15.75" customHeight="1" x14ac:dyDescent="0.3">
      <c r="A250" s="2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 ht="15.75" customHeight="1" x14ac:dyDescent="0.3">
      <c r="A251" s="2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 ht="15.75" customHeight="1" x14ac:dyDescent="0.3">
      <c r="A252" s="2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 ht="15.75" customHeight="1" x14ac:dyDescent="0.3">
      <c r="A253" s="2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 ht="15.75" customHeight="1" x14ac:dyDescent="0.3">
      <c r="A254" s="2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 ht="15.75" customHeight="1" x14ac:dyDescent="0.3">
      <c r="A255" s="2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 ht="15.75" customHeight="1" x14ac:dyDescent="0.3">
      <c r="A256" s="2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 ht="15.75" customHeight="1" x14ac:dyDescent="0.3">
      <c r="A257" s="2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 ht="15.75" customHeight="1" x14ac:dyDescent="0.3">
      <c r="A258" s="2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 ht="15.75" customHeight="1" x14ac:dyDescent="0.3">
      <c r="A259" s="2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 ht="15.75" customHeight="1" x14ac:dyDescent="0.3">
      <c r="A260" s="2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 ht="15.75" customHeight="1" x14ac:dyDescent="0.3">
      <c r="A261" s="2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 ht="15.75" customHeight="1" x14ac:dyDescent="0.3">
      <c r="A262" s="2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 ht="15.75" customHeight="1" x14ac:dyDescent="0.3">
      <c r="A263" s="2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 ht="15.75" customHeight="1" x14ac:dyDescent="0.3">
      <c r="A264" s="2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 ht="15.75" customHeight="1" x14ac:dyDescent="0.3">
      <c r="A265" s="2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 ht="15.75" customHeight="1" x14ac:dyDescent="0.3">
      <c r="A266" s="2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 ht="15.75" customHeight="1" x14ac:dyDescent="0.3">
      <c r="A267" s="2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 ht="15.75" customHeight="1" x14ac:dyDescent="0.3">
      <c r="A268" s="2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 ht="15.75" customHeight="1" x14ac:dyDescent="0.3">
      <c r="A269" s="2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 ht="15.75" customHeight="1" x14ac:dyDescent="0.3">
      <c r="A270" s="2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 ht="15.75" customHeight="1" x14ac:dyDescent="0.3">
      <c r="A271" s="2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 ht="15.75" customHeight="1" x14ac:dyDescent="0.3">
      <c r="A272" s="2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 ht="15.75" customHeight="1" x14ac:dyDescent="0.3">
      <c r="A273" s="2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 ht="15.75" customHeight="1" x14ac:dyDescent="0.3">
      <c r="A274" s="2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 ht="15.75" customHeight="1" x14ac:dyDescent="0.3">
      <c r="A275" s="2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 ht="15.75" customHeight="1" x14ac:dyDescent="0.3">
      <c r="A276" s="2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 ht="15.75" customHeight="1" x14ac:dyDescent="0.3">
      <c r="A277" s="2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 ht="15.75" customHeight="1" x14ac:dyDescent="0.3">
      <c r="A278" s="2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 ht="15.75" customHeight="1" x14ac:dyDescent="0.3">
      <c r="A279" s="2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 ht="15.75" customHeight="1" x14ac:dyDescent="0.3">
      <c r="A280" s="2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 ht="15.75" customHeight="1" x14ac:dyDescent="0.3">
      <c r="A281" s="2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 ht="15.75" customHeight="1" x14ac:dyDescent="0.3">
      <c r="A282" s="2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 ht="15.75" customHeight="1" x14ac:dyDescent="0.3">
      <c r="A283" s="2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 ht="15.75" customHeight="1" x14ac:dyDescent="0.3">
      <c r="A284" s="2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 ht="15.75" customHeight="1" x14ac:dyDescent="0.3">
      <c r="A285" s="2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 ht="15.75" customHeight="1" x14ac:dyDescent="0.3">
      <c r="A286" s="2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 ht="15.75" customHeight="1" x14ac:dyDescent="0.3">
      <c r="A287" s="2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 ht="15.75" customHeight="1" x14ac:dyDescent="0.3">
      <c r="A288" s="2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 ht="15.75" customHeight="1" x14ac:dyDescent="0.3">
      <c r="A289" s="2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 ht="15.75" customHeight="1" x14ac:dyDescent="0.3">
      <c r="A290" s="2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 ht="15.75" customHeight="1" x14ac:dyDescent="0.3">
      <c r="A291" s="2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 ht="15.75" customHeight="1" x14ac:dyDescent="0.3">
      <c r="A292" s="2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 ht="15.75" customHeight="1" x14ac:dyDescent="0.3">
      <c r="A293" s="2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 ht="15.75" customHeight="1" x14ac:dyDescent="0.3">
      <c r="A294" s="2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 ht="15.75" customHeight="1" x14ac:dyDescent="0.3">
      <c r="A295" s="2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 ht="15.75" customHeight="1" x14ac:dyDescent="0.3">
      <c r="A296" s="2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 ht="15.75" customHeight="1" x14ac:dyDescent="0.3">
      <c r="A297" s="2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 ht="15.75" customHeight="1" x14ac:dyDescent="0.3">
      <c r="A298" s="2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 ht="15.75" customHeight="1" x14ac:dyDescent="0.3">
      <c r="A299" s="2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 ht="15.75" customHeight="1" x14ac:dyDescent="0.3">
      <c r="A300" s="2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 ht="15.75" customHeight="1" x14ac:dyDescent="0.3">
      <c r="A301" s="2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 ht="15.75" customHeight="1" x14ac:dyDescent="0.3">
      <c r="A302" s="2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 ht="15.75" customHeight="1" x14ac:dyDescent="0.3">
      <c r="A303" s="2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 ht="15.75" customHeight="1" x14ac:dyDescent="0.3">
      <c r="A304" s="2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 ht="15.75" customHeight="1" x14ac:dyDescent="0.3">
      <c r="A305" s="2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 ht="15.75" customHeight="1" x14ac:dyDescent="0.3">
      <c r="A306" s="2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 ht="15.75" customHeight="1" x14ac:dyDescent="0.3">
      <c r="A307" s="2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 ht="15.75" customHeight="1" x14ac:dyDescent="0.3">
      <c r="A308" s="2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 ht="15.75" customHeight="1" x14ac:dyDescent="0.3">
      <c r="A309" s="2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 ht="15.75" customHeight="1" x14ac:dyDescent="0.3">
      <c r="A310" s="2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 ht="15.75" customHeight="1" x14ac:dyDescent="0.3">
      <c r="A311" s="2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 ht="15.75" customHeight="1" x14ac:dyDescent="0.3">
      <c r="A312" s="2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 ht="15.75" customHeight="1" x14ac:dyDescent="0.3">
      <c r="A313" s="2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 ht="15.75" customHeight="1" x14ac:dyDescent="0.3">
      <c r="A314" s="2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 ht="15.75" customHeight="1" x14ac:dyDescent="0.3">
      <c r="A315" s="2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 ht="15.75" customHeight="1" x14ac:dyDescent="0.3">
      <c r="A316" s="2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 ht="15.75" customHeight="1" x14ac:dyDescent="0.3">
      <c r="A317" s="2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 ht="15.75" customHeight="1" x14ac:dyDescent="0.3">
      <c r="A318" s="2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 ht="15.75" customHeight="1" x14ac:dyDescent="0.3">
      <c r="A319" s="2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 ht="15.75" customHeight="1" x14ac:dyDescent="0.3">
      <c r="A320" s="2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 ht="15.75" customHeight="1" x14ac:dyDescent="0.3">
      <c r="A321" s="2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 ht="15.75" customHeight="1" x14ac:dyDescent="0.3">
      <c r="A322" s="2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 ht="15.75" customHeight="1" x14ac:dyDescent="0.3">
      <c r="A323" s="2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 ht="15.75" customHeight="1" x14ac:dyDescent="0.3">
      <c r="A324" s="2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 ht="15.75" customHeight="1" x14ac:dyDescent="0.3">
      <c r="A325" s="2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 ht="15.75" customHeight="1" x14ac:dyDescent="0.3">
      <c r="A326" s="2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 ht="15.75" customHeight="1" x14ac:dyDescent="0.3">
      <c r="A327" s="2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 ht="15.75" customHeight="1" x14ac:dyDescent="0.3">
      <c r="A328" s="2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 ht="15.75" customHeight="1" x14ac:dyDescent="0.3">
      <c r="A329" s="2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 ht="15.75" customHeight="1" x14ac:dyDescent="0.3">
      <c r="A330" s="2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 ht="15.75" customHeight="1" x14ac:dyDescent="0.3">
      <c r="A331" s="2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 ht="15.75" customHeight="1" x14ac:dyDescent="0.3">
      <c r="A332" s="2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 ht="15.75" customHeight="1" x14ac:dyDescent="0.3">
      <c r="A333" s="2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 ht="15.75" customHeight="1" x14ac:dyDescent="0.3">
      <c r="A334" s="2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 ht="15.75" customHeight="1" x14ac:dyDescent="0.3">
      <c r="A335" s="2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 ht="15.75" customHeight="1" x14ac:dyDescent="0.3">
      <c r="A336" s="2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 ht="15.75" customHeight="1" x14ac:dyDescent="0.3">
      <c r="A337" s="2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 ht="15.75" customHeight="1" x14ac:dyDescent="0.3">
      <c r="A338" s="2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 ht="15.75" customHeight="1" x14ac:dyDescent="0.3">
      <c r="A339" s="2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 ht="15.75" customHeight="1" x14ac:dyDescent="0.3">
      <c r="A340" s="2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 ht="15.75" customHeight="1" x14ac:dyDescent="0.3">
      <c r="A341" s="2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 ht="15.75" customHeight="1" x14ac:dyDescent="0.3">
      <c r="A342" s="2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 ht="15.75" customHeight="1" x14ac:dyDescent="0.3">
      <c r="A343" s="2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 ht="15.75" customHeight="1" x14ac:dyDescent="0.3">
      <c r="A344" s="2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 ht="15.75" customHeight="1" x14ac:dyDescent="0.3">
      <c r="A345" s="2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 ht="15.75" customHeight="1" x14ac:dyDescent="0.3">
      <c r="A346" s="2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 ht="15.75" customHeight="1" x14ac:dyDescent="0.3">
      <c r="A347" s="2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 ht="15.75" customHeight="1" x14ac:dyDescent="0.3">
      <c r="A348" s="2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 ht="15.75" customHeight="1" x14ac:dyDescent="0.3">
      <c r="A349" s="2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 ht="15.75" customHeight="1" x14ac:dyDescent="0.3">
      <c r="A350" s="2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 ht="15.75" customHeight="1" x14ac:dyDescent="0.3">
      <c r="A351" s="2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 ht="15.75" customHeight="1" x14ac:dyDescent="0.3">
      <c r="A352" s="2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 ht="15.75" customHeight="1" x14ac:dyDescent="0.3">
      <c r="A353" s="2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 ht="15.75" customHeight="1" x14ac:dyDescent="0.3">
      <c r="A354" s="2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 ht="15.75" customHeight="1" x14ac:dyDescent="0.3">
      <c r="A355" s="2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 ht="15.75" customHeight="1" x14ac:dyDescent="0.3">
      <c r="A356" s="2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 ht="15.75" customHeight="1" x14ac:dyDescent="0.3">
      <c r="A357" s="2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 ht="15.75" customHeight="1" x14ac:dyDescent="0.3">
      <c r="A358" s="2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 ht="15.75" customHeight="1" x14ac:dyDescent="0.3">
      <c r="A359" s="2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 ht="15.75" customHeight="1" x14ac:dyDescent="0.3">
      <c r="A360" s="2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 ht="15.75" customHeight="1" x14ac:dyDescent="0.3">
      <c r="A361" s="2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 ht="15.75" customHeight="1" x14ac:dyDescent="0.3">
      <c r="A362" s="2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 ht="15.75" customHeight="1" x14ac:dyDescent="0.3">
      <c r="A363" s="2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 ht="15.75" customHeight="1" x14ac:dyDescent="0.3">
      <c r="A364" s="2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 ht="15.75" customHeight="1" x14ac:dyDescent="0.3">
      <c r="A365" s="2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 ht="15.75" customHeight="1" x14ac:dyDescent="0.3">
      <c r="A366" s="2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 ht="15.75" customHeight="1" x14ac:dyDescent="0.3">
      <c r="A367" s="2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 ht="15.75" customHeight="1" x14ac:dyDescent="0.3">
      <c r="A368" s="2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 ht="15.75" customHeight="1" x14ac:dyDescent="0.3">
      <c r="A369" s="2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 ht="15.75" customHeight="1" x14ac:dyDescent="0.3">
      <c r="A370" s="2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 ht="15.75" customHeight="1" x14ac:dyDescent="0.3">
      <c r="A371" s="2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 ht="15.75" customHeight="1" x14ac:dyDescent="0.3">
      <c r="A372" s="2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 ht="15.75" customHeight="1" x14ac:dyDescent="0.3">
      <c r="A373" s="2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 ht="15.75" customHeight="1" x14ac:dyDescent="0.3">
      <c r="A374" s="2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 ht="15.75" customHeight="1" x14ac:dyDescent="0.3">
      <c r="A375" s="2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 ht="15.75" customHeight="1" x14ac:dyDescent="0.3">
      <c r="A376" s="2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 ht="15.75" customHeight="1" x14ac:dyDescent="0.3">
      <c r="A377" s="2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 ht="15.75" customHeight="1" x14ac:dyDescent="0.3">
      <c r="A378" s="2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 ht="15.75" customHeight="1" x14ac:dyDescent="0.3">
      <c r="A379" s="2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 ht="15.75" customHeight="1" x14ac:dyDescent="0.3">
      <c r="A380" s="2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 ht="15.75" customHeight="1" x14ac:dyDescent="0.3">
      <c r="A381" s="2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 ht="15.75" customHeight="1" x14ac:dyDescent="0.3">
      <c r="A382" s="2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 ht="15.75" customHeight="1" x14ac:dyDescent="0.3">
      <c r="A383" s="2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 ht="15.75" customHeight="1" x14ac:dyDescent="0.3">
      <c r="A384" s="2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 ht="15.75" customHeight="1" x14ac:dyDescent="0.3">
      <c r="A385" s="2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 ht="15.75" customHeight="1" x14ac:dyDescent="0.3">
      <c r="A386" s="2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 ht="15.75" customHeight="1" x14ac:dyDescent="0.3">
      <c r="A387" s="2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 ht="15.75" customHeight="1" x14ac:dyDescent="0.3">
      <c r="A388" s="2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 ht="15.75" customHeight="1" x14ac:dyDescent="0.3">
      <c r="A389" s="2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 ht="15.75" customHeight="1" x14ac:dyDescent="0.3">
      <c r="A390" s="2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 ht="15.75" customHeight="1" x14ac:dyDescent="0.3">
      <c r="A391" s="2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 ht="15.75" customHeight="1" x14ac:dyDescent="0.3">
      <c r="A392" s="2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 ht="15.75" customHeight="1" x14ac:dyDescent="0.3">
      <c r="A393" s="2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 ht="15.75" customHeight="1" x14ac:dyDescent="0.3">
      <c r="A394" s="2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 ht="15.75" customHeight="1" x14ac:dyDescent="0.3">
      <c r="A395" s="2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 ht="15.75" customHeight="1" x14ac:dyDescent="0.3">
      <c r="A396" s="2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 ht="15.75" customHeight="1" x14ac:dyDescent="0.3">
      <c r="A397" s="2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 ht="15.75" customHeight="1" x14ac:dyDescent="0.3">
      <c r="A398" s="2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 ht="15.75" customHeight="1" x14ac:dyDescent="0.3">
      <c r="A399" s="2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 ht="15.75" customHeight="1" x14ac:dyDescent="0.3">
      <c r="A400" s="2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 ht="15.75" customHeight="1" x14ac:dyDescent="0.3">
      <c r="A401" s="2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 ht="15.75" customHeight="1" x14ac:dyDescent="0.3">
      <c r="A402" s="2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 ht="15.75" customHeight="1" x14ac:dyDescent="0.3">
      <c r="A403" s="2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 ht="15.75" customHeight="1" x14ac:dyDescent="0.3">
      <c r="A404" s="2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 ht="15.75" customHeight="1" x14ac:dyDescent="0.3">
      <c r="A405" s="2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 ht="15.75" customHeight="1" x14ac:dyDescent="0.3">
      <c r="A406" s="2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 ht="15.75" customHeight="1" x14ac:dyDescent="0.3">
      <c r="A407" s="2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 ht="15.75" customHeight="1" x14ac:dyDescent="0.3">
      <c r="A408" s="2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 ht="15.75" customHeight="1" x14ac:dyDescent="0.3">
      <c r="A409" s="2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 ht="15.75" customHeight="1" x14ac:dyDescent="0.3">
      <c r="A410" s="2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 ht="15.75" customHeight="1" x14ac:dyDescent="0.3">
      <c r="A411" s="2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 ht="15.75" customHeight="1" x14ac:dyDescent="0.3">
      <c r="A412" s="2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 ht="15.75" customHeight="1" x14ac:dyDescent="0.3">
      <c r="A413" s="2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 ht="15.75" customHeight="1" x14ac:dyDescent="0.3">
      <c r="A414" s="2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 ht="15.75" customHeight="1" x14ac:dyDescent="0.3">
      <c r="A415" s="2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 ht="15.75" customHeight="1" x14ac:dyDescent="0.3">
      <c r="A416" s="2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 ht="15.75" customHeight="1" x14ac:dyDescent="0.3">
      <c r="A417" s="2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 ht="15.75" customHeight="1" x14ac:dyDescent="0.3">
      <c r="A418" s="2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 ht="15.75" customHeight="1" x14ac:dyDescent="0.3">
      <c r="A419" s="2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 ht="15.75" customHeight="1" x14ac:dyDescent="0.3">
      <c r="A420" s="2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 ht="15.75" customHeight="1" x14ac:dyDescent="0.3">
      <c r="A421" s="2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 ht="15.75" customHeight="1" x14ac:dyDescent="0.3">
      <c r="A422" s="2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 ht="15.75" customHeight="1" x14ac:dyDescent="0.3">
      <c r="A423" s="2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 ht="15.75" customHeight="1" x14ac:dyDescent="0.3">
      <c r="A424" s="2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 ht="15.75" customHeight="1" x14ac:dyDescent="0.3">
      <c r="A425" s="2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 ht="15.75" customHeight="1" x14ac:dyDescent="0.3">
      <c r="A426" s="2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 ht="15.75" customHeight="1" x14ac:dyDescent="0.3">
      <c r="A427" s="2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 ht="15.75" customHeight="1" x14ac:dyDescent="0.3">
      <c r="A428" s="2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 ht="15.75" customHeight="1" x14ac:dyDescent="0.3">
      <c r="A429" s="2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 ht="15.75" customHeight="1" x14ac:dyDescent="0.3">
      <c r="A430" s="2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 ht="15.75" customHeight="1" x14ac:dyDescent="0.3">
      <c r="A431" s="2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 ht="15.75" customHeight="1" x14ac:dyDescent="0.3">
      <c r="A432" s="2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 ht="15.75" customHeight="1" x14ac:dyDescent="0.3">
      <c r="A433" s="2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 ht="15.75" customHeight="1" x14ac:dyDescent="0.3">
      <c r="A434" s="2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 ht="15.75" customHeight="1" x14ac:dyDescent="0.3">
      <c r="A435" s="2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 ht="15.75" customHeight="1" x14ac:dyDescent="0.3">
      <c r="A436" s="2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 ht="15.75" customHeight="1" x14ac:dyDescent="0.3">
      <c r="A437" s="2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 ht="15.75" customHeight="1" x14ac:dyDescent="0.3">
      <c r="A438" s="2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 ht="15.75" customHeight="1" x14ac:dyDescent="0.3">
      <c r="A439" s="2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 ht="15.75" customHeight="1" x14ac:dyDescent="0.3">
      <c r="A440" s="2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 ht="15.75" customHeight="1" x14ac:dyDescent="0.3">
      <c r="A441" s="2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 ht="15.75" customHeight="1" x14ac:dyDescent="0.3">
      <c r="A442" s="2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 ht="15.75" customHeight="1" x14ac:dyDescent="0.3">
      <c r="A443" s="2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 ht="15.75" customHeight="1" x14ac:dyDescent="0.3">
      <c r="A444" s="2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 ht="15.75" customHeight="1" x14ac:dyDescent="0.3">
      <c r="A445" s="2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 ht="15.75" customHeight="1" x14ac:dyDescent="0.3">
      <c r="A446" s="2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 ht="15.75" customHeight="1" x14ac:dyDescent="0.3">
      <c r="A447" s="2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 ht="15.75" customHeight="1" x14ac:dyDescent="0.3">
      <c r="A448" s="2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 ht="15.75" customHeight="1" x14ac:dyDescent="0.3">
      <c r="A449" s="2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 ht="15.75" customHeight="1" x14ac:dyDescent="0.3">
      <c r="A450" s="2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 ht="15.75" customHeight="1" x14ac:dyDescent="0.3">
      <c r="A451" s="2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 ht="15.75" customHeight="1" x14ac:dyDescent="0.3">
      <c r="A452" s="2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 ht="15.75" customHeight="1" x14ac:dyDescent="0.3">
      <c r="A453" s="2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 ht="15.75" customHeight="1" x14ac:dyDescent="0.3">
      <c r="A454" s="2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 ht="15.75" customHeight="1" x14ac:dyDescent="0.3">
      <c r="A455" s="2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 ht="15.75" customHeight="1" x14ac:dyDescent="0.3">
      <c r="A456" s="2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 ht="15.75" customHeight="1" x14ac:dyDescent="0.3">
      <c r="A457" s="2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 ht="15.75" customHeight="1" x14ac:dyDescent="0.3">
      <c r="A458" s="2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 ht="15.75" customHeight="1" x14ac:dyDescent="0.3">
      <c r="A459" s="2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 ht="15.75" customHeight="1" x14ac:dyDescent="0.3">
      <c r="A460" s="2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5.75" customHeight="1" x14ac:dyDescent="0.3">
      <c r="A461" s="2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5.75" customHeight="1" x14ac:dyDescent="0.3">
      <c r="A462" s="2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5.75" customHeight="1" x14ac:dyDescent="0.3">
      <c r="A463" s="2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5.75" customHeight="1" x14ac:dyDescent="0.3">
      <c r="A464" s="2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5.75" customHeight="1" x14ac:dyDescent="0.3">
      <c r="A465" s="2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5.75" customHeight="1" x14ac:dyDescent="0.3">
      <c r="A466" s="2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5.75" customHeight="1" x14ac:dyDescent="0.3">
      <c r="A467" s="2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5.75" customHeight="1" x14ac:dyDescent="0.3">
      <c r="A468" s="2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5.75" customHeight="1" x14ac:dyDescent="0.3">
      <c r="A469" s="2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5.75" customHeight="1" x14ac:dyDescent="0.3">
      <c r="A470" s="2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5.75" customHeight="1" x14ac:dyDescent="0.3">
      <c r="A471" s="2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5.75" customHeight="1" x14ac:dyDescent="0.3">
      <c r="A472" s="2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5.75" customHeight="1" x14ac:dyDescent="0.3">
      <c r="A473" s="2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5.75" customHeight="1" x14ac:dyDescent="0.3">
      <c r="A474" s="2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5.75" customHeight="1" x14ac:dyDescent="0.3">
      <c r="A475" s="2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5.75" customHeight="1" x14ac:dyDescent="0.3">
      <c r="A476" s="2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5.75" customHeight="1" x14ac:dyDescent="0.3">
      <c r="A477" s="2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5.75" customHeight="1" x14ac:dyDescent="0.3">
      <c r="A478" s="2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5.75" customHeight="1" x14ac:dyDescent="0.3">
      <c r="A479" s="2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5.75" customHeight="1" x14ac:dyDescent="0.3">
      <c r="A480" s="2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5.75" customHeight="1" x14ac:dyDescent="0.3">
      <c r="A481" s="2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5.75" customHeight="1" x14ac:dyDescent="0.3">
      <c r="A482" s="2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5.75" customHeight="1" x14ac:dyDescent="0.3">
      <c r="A483" s="2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5.75" customHeight="1" x14ac:dyDescent="0.3">
      <c r="A484" s="2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5.75" customHeight="1" x14ac:dyDescent="0.3">
      <c r="A485" s="2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5.75" customHeight="1" x14ac:dyDescent="0.3">
      <c r="A486" s="2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5.75" customHeight="1" x14ac:dyDescent="0.3">
      <c r="A487" s="2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5.75" customHeight="1" x14ac:dyDescent="0.3">
      <c r="A488" s="2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5.75" customHeight="1" x14ac:dyDescent="0.3">
      <c r="A489" s="2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5.75" customHeight="1" x14ac:dyDescent="0.3">
      <c r="A490" s="2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5.75" customHeight="1" x14ac:dyDescent="0.3">
      <c r="A491" s="2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5.75" customHeight="1" x14ac:dyDescent="0.3">
      <c r="A492" s="2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5.75" customHeight="1" x14ac:dyDescent="0.3">
      <c r="A493" s="2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5.75" customHeight="1" x14ac:dyDescent="0.3">
      <c r="A494" s="2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5.75" customHeight="1" x14ac:dyDescent="0.3">
      <c r="A495" s="2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5.75" customHeight="1" x14ac:dyDescent="0.3">
      <c r="A496" s="2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5.75" customHeight="1" x14ac:dyDescent="0.3">
      <c r="A497" s="2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5.75" customHeight="1" x14ac:dyDescent="0.3">
      <c r="A498" s="2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5.75" customHeight="1" x14ac:dyDescent="0.3">
      <c r="A499" s="2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5.75" customHeight="1" x14ac:dyDescent="0.3">
      <c r="A500" s="2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5.75" customHeight="1" x14ac:dyDescent="0.3">
      <c r="A501" s="2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5.75" customHeight="1" x14ac:dyDescent="0.3">
      <c r="A502" s="2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5.75" customHeight="1" x14ac:dyDescent="0.3">
      <c r="A503" s="2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5.75" customHeight="1" x14ac:dyDescent="0.3">
      <c r="A504" s="2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5.75" customHeight="1" x14ac:dyDescent="0.3">
      <c r="A505" s="2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5.75" customHeight="1" x14ac:dyDescent="0.3">
      <c r="A506" s="2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5.75" customHeight="1" x14ac:dyDescent="0.3">
      <c r="A507" s="2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5.75" customHeight="1" x14ac:dyDescent="0.3">
      <c r="A508" s="2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5.75" customHeight="1" x14ac:dyDescent="0.3">
      <c r="A509" s="2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5.75" customHeight="1" x14ac:dyDescent="0.3">
      <c r="A510" s="2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5.75" customHeight="1" x14ac:dyDescent="0.3">
      <c r="A511" s="2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5.75" customHeight="1" x14ac:dyDescent="0.3">
      <c r="A512" s="2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5.75" customHeight="1" x14ac:dyDescent="0.3">
      <c r="A513" s="2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5.75" customHeight="1" x14ac:dyDescent="0.3">
      <c r="A514" s="2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5.75" customHeight="1" x14ac:dyDescent="0.3">
      <c r="A515" s="2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5.75" customHeight="1" x14ac:dyDescent="0.3">
      <c r="A516" s="2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5.75" customHeight="1" x14ac:dyDescent="0.3">
      <c r="A517" s="2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5.75" customHeight="1" x14ac:dyDescent="0.3">
      <c r="A518" s="2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5.75" customHeight="1" x14ac:dyDescent="0.3">
      <c r="A519" s="2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5.75" customHeight="1" x14ac:dyDescent="0.3">
      <c r="A520" s="2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5.75" customHeight="1" x14ac:dyDescent="0.3">
      <c r="A521" s="2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5.75" customHeight="1" x14ac:dyDescent="0.3">
      <c r="A522" s="2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5.75" customHeight="1" x14ac:dyDescent="0.3">
      <c r="A523" s="2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5.75" customHeight="1" x14ac:dyDescent="0.3">
      <c r="A524" s="2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5.75" customHeight="1" x14ac:dyDescent="0.3">
      <c r="A525" s="2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5.75" customHeight="1" x14ac:dyDescent="0.3">
      <c r="A526" s="2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5.75" customHeight="1" x14ac:dyDescent="0.3">
      <c r="A527" s="2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5.75" customHeight="1" x14ac:dyDescent="0.3">
      <c r="A528" s="2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5.75" customHeight="1" x14ac:dyDescent="0.3">
      <c r="A529" s="2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5.75" customHeight="1" x14ac:dyDescent="0.3">
      <c r="A530" s="2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5.75" customHeight="1" x14ac:dyDescent="0.3">
      <c r="A531" s="2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5.75" customHeight="1" x14ac:dyDescent="0.3">
      <c r="A532" s="2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5.75" customHeight="1" x14ac:dyDescent="0.3">
      <c r="A533" s="2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5.75" customHeight="1" x14ac:dyDescent="0.3">
      <c r="A534" s="2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5.75" customHeight="1" x14ac:dyDescent="0.3">
      <c r="A535" s="2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5.75" customHeight="1" x14ac:dyDescent="0.3">
      <c r="A536" s="2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5.75" customHeight="1" x14ac:dyDescent="0.3">
      <c r="A537" s="2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5.75" customHeight="1" x14ac:dyDescent="0.3">
      <c r="A538" s="2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5.75" customHeight="1" x14ac:dyDescent="0.3">
      <c r="A539" s="2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5.75" customHeight="1" x14ac:dyDescent="0.3">
      <c r="A540" s="2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5.75" customHeight="1" x14ac:dyDescent="0.3">
      <c r="A541" s="2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5.75" customHeight="1" x14ac:dyDescent="0.3">
      <c r="A542" s="2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5.75" customHeight="1" x14ac:dyDescent="0.3">
      <c r="A543" s="2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5.75" customHeight="1" x14ac:dyDescent="0.3">
      <c r="A544" s="2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5.75" customHeight="1" x14ac:dyDescent="0.3">
      <c r="A545" s="2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5.75" customHeight="1" x14ac:dyDescent="0.3">
      <c r="A546" s="2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5.75" customHeight="1" x14ac:dyDescent="0.3">
      <c r="A547" s="2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5.75" customHeight="1" x14ac:dyDescent="0.3">
      <c r="A548" s="2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5.75" customHeight="1" x14ac:dyDescent="0.3">
      <c r="A549" s="2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5.75" customHeight="1" x14ac:dyDescent="0.3">
      <c r="A550" s="2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5.75" customHeight="1" x14ac:dyDescent="0.3">
      <c r="A551" s="2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5.75" customHeight="1" x14ac:dyDescent="0.3">
      <c r="A552" s="2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5.75" customHeight="1" x14ac:dyDescent="0.3">
      <c r="A553" s="2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5.75" customHeight="1" x14ac:dyDescent="0.3">
      <c r="A554" s="2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5.75" customHeight="1" x14ac:dyDescent="0.3">
      <c r="A555" s="2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5.75" customHeight="1" x14ac:dyDescent="0.3">
      <c r="A556" s="2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5.75" customHeight="1" x14ac:dyDescent="0.3">
      <c r="A557" s="2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5.75" customHeight="1" x14ac:dyDescent="0.3">
      <c r="A558" s="2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5.75" customHeight="1" x14ac:dyDescent="0.3">
      <c r="A559" s="2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5.75" customHeight="1" x14ac:dyDescent="0.3">
      <c r="A560" s="2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5.75" customHeight="1" x14ac:dyDescent="0.3">
      <c r="A561" s="2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5.75" customHeight="1" x14ac:dyDescent="0.3">
      <c r="A562" s="2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5.75" customHeight="1" x14ac:dyDescent="0.3">
      <c r="A563" s="2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5.75" customHeight="1" x14ac:dyDescent="0.3">
      <c r="A564" s="2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5.75" customHeight="1" x14ac:dyDescent="0.3">
      <c r="A565" s="2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5.75" customHeight="1" x14ac:dyDescent="0.3">
      <c r="A566" s="2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5.75" customHeight="1" x14ac:dyDescent="0.3">
      <c r="A567" s="2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5.75" customHeight="1" x14ac:dyDescent="0.3">
      <c r="A568" s="2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5.75" customHeight="1" x14ac:dyDescent="0.3">
      <c r="A569" s="2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5.75" customHeight="1" x14ac:dyDescent="0.3">
      <c r="A570" s="2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5.75" customHeight="1" x14ac:dyDescent="0.3">
      <c r="A571" s="2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5.75" customHeight="1" x14ac:dyDescent="0.3">
      <c r="A572" s="2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5.75" customHeight="1" x14ac:dyDescent="0.3">
      <c r="A573" s="2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5.75" customHeight="1" x14ac:dyDescent="0.3">
      <c r="A574" s="2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5.75" customHeight="1" x14ac:dyDescent="0.3">
      <c r="A575" s="2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5.75" customHeight="1" x14ac:dyDescent="0.3">
      <c r="A576" s="2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5.75" customHeight="1" x14ac:dyDescent="0.3">
      <c r="A577" s="2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5.75" customHeight="1" x14ac:dyDescent="0.3">
      <c r="A578" s="2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5.75" customHeight="1" x14ac:dyDescent="0.3">
      <c r="A579" s="2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5.75" customHeight="1" x14ac:dyDescent="0.3">
      <c r="A580" s="2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5.75" customHeight="1" x14ac:dyDescent="0.3">
      <c r="A581" s="2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5.75" customHeight="1" x14ac:dyDescent="0.3">
      <c r="A582" s="2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5.75" customHeight="1" x14ac:dyDescent="0.3">
      <c r="A583" s="2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5.75" customHeight="1" x14ac:dyDescent="0.3">
      <c r="A584" s="2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5.75" customHeight="1" x14ac:dyDescent="0.3">
      <c r="A585" s="2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5.75" customHeight="1" x14ac:dyDescent="0.3">
      <c r="A586" s="2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5.75" customHeight="1" x14ac:dyDescent="0.3">
      <c r="A587" s="2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5.75" customHeight="1" x14ac:dyDescent="0.3">
      <c r="A588" s="2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5.75" customHeight="1" x14ac:dyDescent="0.3">
      <c r="A589" s="2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5.75" customHeight="1" x14ac:dyDescent="0.3">
      <c r="A590" s="2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5.75" customHeight="1" x14ac:dyDescent="0.3">
      <c r="A591" s="2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5.75" customHeight="1" x14ac:dyDescent="0.3">
      <c r="A592" s="2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5.75" customHeight="1" x14ac:dyDescent="0.3">
      <c r="A593" s="2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5.75" customHeight="1" x14ac:dyDescent="0.3">
      <c r="A594" s="2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5.75" customHeight="1" x14ac:dyDescent="0.3">
      <c r="A595" s="2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5.75" customHeight="1" x14ac:dyDescent="0.3">
      <c r="A596" s="2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5.75" customHeight="1" x14ac:dyDescent="0.3">
      <c r="A597" s="2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5.75" customHeight="1" x14ac:dyDescent="0.3">
      <c r="A598" s="2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5.75" customHeight="1" x14ac:dyDescent="0.3">
      <c r="A599" s="2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5.75" customHeight="1" x14ac:dyDescent="0.3">
      <c r="A600" s="2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5.75" customHeight="1" x14ac:dyDescent="0.3">
      <c r="A601" s="2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5.75" customHeight="1" x14ac:dyDescent="0.3">
      <c r="A602" s="2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5.75" customHeight="1" x14ac:dyDescent="0.3">
      <c r="A603" s="2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5.75" customHeight="1" x14ac:dyDescent="0.3">
      <c r="A604" s="2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5.75" customHeight="1" x14ac:dyDescent="0.3">
      <c r="A605" s="2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5.75" customHeight="1" x14ac:dyDescent="0.3">
      <c r="A606" s="2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5.75" customHeight="1" x14ac:dyDescent="0.3">
      <c r="A607" s="2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5.75" customHeight="1" x14ac:dyDescent="0.3">
      <c r="A608" s="2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5.75" customHeight="1" x14ac:dyDescent="0.3">
      <c r="A609" s="2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5.75" customHeight="1" x14ac:dyDescent="0.3">
      <c r="A610" s="2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5.75" customHeight="1" x14ac:dyDescent="0.3">
      <c r="A611" s="2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5.75" customHeight="1" x14ac:dyDescent="0.3">
      <c r="A612" s="2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5.75" customHeight="1" x14ac:dyDescent="0.3">
      <c r="A613" s="2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5.75" customHeight="1" x14ac:dyDescent="0.3">
      <c r="A614" s="2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5.75" customHeight="1" x14ac:dyDescent="0.3">
      <c r="A615" s="2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5.75" customHeight="1" x14ac:dyDescent="0.3">
      <c r="A616" s="2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5.75" customHeight="1" x14ac:dyDescent="0.3">
      <c r="A617" s="2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5.75" customHeight="1" x14ac:dyDescent="0.3">
      <c r="A618" s="2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5.75" customHeight="1" x14ac:dyDescent="0.3">
      <c r="A619" s="2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5.75" customHeight="1" x14ac:dyDescent="0.3">
      <c r="A620" s="2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5.75" customHeight="1" x14ac:dyDescent="0.3">
      <c r="A621" s="2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5.75" customHeight="1" x14ac:dyDescent="0.3">
      <c r="A622" s="2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5.75" customHeight="1" x14ac:dyDescent="0.3">
      <c r="A623" s="2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5.75" customHeight="1" x14ac:dyDescent="0.3">
      <c r="A624" s="2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5.75" customHeight="1" x14ac:dyDescent="0.3">
      <c r="A625" s="2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5.75" customHeight="1" x14ac:dyDescent="0.3">
      <c r="A626" s="2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5.75" customHeight="1" x14ac:dyDescent="0.3">
      <c r="A627" s="2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5.75" customHeight="1" x14ac:dyDescent="0.3">
      <c r="A628" s="2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5.75" customHeight="1" x14ac:dyDescent="0.3">
      <c r="A629" s="2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5.75" customHeight="1" x14ac:dyDescent="0.3">
      <c r="A630" s="2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5.75" customHeight="1" x14ac:dyDescent="0.3">
      <c r="A631" s="2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5.75" customHeight="1" x14ac:dyDescent="0.3">
      <c r="A632" s="2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5.75" customHeight="1" x14ac:dyDescent="0.3">
      <c r="A633" s="2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5.75" customHeight="1" x14ac:dyDescent="0.3">
      <c r="A634" s="2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5.75" customHeight="1" x14ac:dyDescent="0.3">
      <c r="A635" s="2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5.75" customHeight="1" x14ac:dyDescent="0.3">
      <c r="A636" s="2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5.75" customHeight="1" x14ac:dyDescent="0.3">
      <c r="A637" s="2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5.75" customHeight="1" x14ac:dyDescent="0.3">
      <c r="A638" s="2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5.75" customHeight="1" x14ac:dyDescent="0.3">
      <c r="A639" s="2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5.75" customHeight="1" x14ac:dyDescent="0.3">
      <c r="A640" s="2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5.75" customHeight="1" x14ac:dyDescent="0.3">
      <c r="A641" s="2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5.75" customHeight="1" x14ac:dyDescent="0.3">
      <c r="A642" s="2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5.75" customHeight="1" x14ac:dyDescent="0.3">
      <c r="A643" s="2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5.75" customHeight="1" x14ac:dyDescent="0.3">
      <c r="A644" s="2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5.75" customHeight="1" x14ac:dyDescent="0.3">
      <c r="A645" s="2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5.75" customHeight="1" x14ac:dyDescent="0.3">
      <c r="A646" s="2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5.75" customHeight="1" x14ac:dyDescent="0.3">
      <c r="A647" s="2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5.75" customHeight="1" x14ac:dyDescent="0.3">
      <c r="A648" s="2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5.75" customHeight="1" x14ac:dyDescent="0.3">
      <c r="A649" s="2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5.75" customHeight="1" x14ac:dyDescent="0.3">
      <c r="A650" s="2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5.75" customHeight="1" x14ac:dyDescent="0.3">
      <c r="A651" s="2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5.75" customHeight="1" x14ac:dyDescent="0.3">
      <c r="A652" s="2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5.75" customHeight="1" x14ac:dyDescent="0.3">
      <c r="A653" s="2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5.75" customHeight="1" x14ac:dyDescent="0.3">
      <c r="A654" s="2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5.75" customHeight="1" x14ac:dyDescent="0.3">
      <c r="A655" s="2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5.75" customHeight="1" x14ac:dyDescent="0.3">
      <c r="A656" s="2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5.75" customHeight="1" x14ac:dyDescent="0.3">
      <c r="A657" s="2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5.75" customHeight="1" x14ac:dyDescent="0.3">
      <c r="A658" s="2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5.75" customHeight="1" x14ac:dyDescent="0.3">
      <c r="A659" s="2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5.75" customHeight="1" x14ac:dyDescent="0.3">
      <c r="A660" s="2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5.75" customHeight="1" x14ac:dyDescent="0.3">
      <c r="A661" s="2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5.75" customHeight="1" x14ac:dyDescent="0.3">
      <c r="A662" s="2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5.75" customHeight="1" x14ac:dyDescent="0.3">
      <c r="A663" s="2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5.75" customHeight="1" x14ac:dyDescent="0.3">
      <c r="A664" s="2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5.75" customHeight="1" x14ac:dyDescent="0.3">
      <c r="A665" s="2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5.75" customHeight="1" x14ac:dyDescent="0.3">
      <c r="A666" s="2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5.75" customHeight="1" x14ac:dyDescent="0.3">
      <c r="A667" s="2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5.75" customHeight="1" x14ac:dyDescent="0.3">
      <c r="A668" s="2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5.75" customHeight="1" x14ac:dyDescent="0.3">
      <c r="A669" s="2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5.75" customHeight="1" x14ac:dyDescent="0.3">
      <c r="A670" s="2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5.75" customHeight="1" x14ac:dyDescent="0.3">
      <c r="A671" s="2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5.75" customHeight="1" x14ac:dyDescent="0.3">
      <c r="A672" s="2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5.75" customHeight="1" x14ac:dyDescent="0.3">
      <c r="A673" s="2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5.75" customHeight="1" x14ac:dyDescent="0.3">
      <c r="A674" s="2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5.75" customHeight="1" x14ac:dyDescent="0.3">
      <c r="A675" s="2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5.75" customHeight="1" x14ac:dyDescent="0.3">
      <c r="A676" s="2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5.75" customHeight="1" x14ac:dyDescent="0.3">
      <c r="A677" s="2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5.75" customHeight="1" x14ac:dyDescent="0.3">
      <c r="A678" s="2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5.75" customHeight="1" x14ac:dyDescent="0.3">
      <c r="A679" s="2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5.75" customHeight="1" x14ac:dyDescent="0.3">
      <c r="A680" s="2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5.75" customHeight="1" x14ac:dyDescent="0.3">
      <c r="A681" s="2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5.75" customHeight="1" x14ac:dyDescent="0.3">
      <c r="A682" s="2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5.75" customHeight="1" x14ac:dyDescent="0.3">
      <c r="A683" s="2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5.75" customHeight="1" x14ac:dyDescent="0.3">
      <c r="A684" s="2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5.75" customHeight="1" x14ac:dyDescent="0.3">
      <c r="A685" s="2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5.75" customHeight="1" x14ac:dyDescent="0.3">
      <c r="A686" s="2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5.75" customHeight="1" x14ac:dyDescent="0.3">
      <c r="A687" s="2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5.75" customHeight="1" x14ac:dyDescent="0.3">
      <c r="A688" s="2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5.75" customHeight="1" x14ac:dyDescent="0.3">
      <c r="A689" s="2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5.75" customHeight="1" x14ac:dyDescent="0.3">
      <c r="A690" s="2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5.75" customHeight="1" x14ac:dyDescent="0.3">
      <c r="A691" s="2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5.75" customHeight="1" x14ac:dyDescent="0.3">
      <c r="A692" s="2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5.75" customHeight="1" x14ac:dyDescent="0.3">
      <c r="A693" s="2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5.75" customHeight="1" x14ac:dyDescent="0.3">
      <c r="A694" s="2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5.75" customHeight="1" x14ac:dyDescent="0.3">
      <c r="A695" s="2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5.75" customHeight="1" x14ac:dyDescent="0.3">
      <c r="A696" s="2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5.75" customHeight="1" x14ac:dyDescent="0.3">
      <c r="A697" s="2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5.75" customHeight="1" x14ac:dyDescent="0.3">
      <c r="A698" s="2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5.75" customHeight="1" x14ac:dyDescent="0.3">
      <c r="A699" s="2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5.75" customHeight="1" x14ac:dyDescent="0.3">
      <c r="A700" s="2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5.75" customHeight="1" x14ac:dyDescent="0.3">
      <c r="A701" s="2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5.75" customHeight="1" x14ac:dyDescent="0.3">
      <c r="A702" s="2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5.75" customHeight="1" x14ac:dyDescent="0.3">
      <c r="A703" s="2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5.75" customHeight="1" x14ac:dyDescent="0.3">
      <c r="A704" s="2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5.75" customHeight="1" x14ac:dyDescent="0.3">
      <c r="A705" s="2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5.75" customHeight="1" x14ac:dyDescent="0.3">
      <c r="A706" s="2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5.75" customHeight="1" x14ac:dyDescent="0.3">
      <c r="A707" s="2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5.75" customHeight="1" x14ac:dyDescent="0.3">
      <c r="A708" s="2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5.75" customHeight="1" x14ac:dyDescent="0.3">
      <c r="A709" s="2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5.75" customHeight="1" x14ac:dyDescent="0.3">
      <c r="A710" s="2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5.75" customHeight="1" x14ac:dyDescent="0.3">
      <c r="A711" s="2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5.75" customHeight="1" x14ac:dyDescent="0.3">
      <c r="A712" s="2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5.75" customHeight="1" x14ac:dyDescent="0.3">
      <c r="A713" s="2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5.75" customHeight="1" x14ac:dyDescent="0.3">
      <c r="A714" s="2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5.75" customHeight="1" x14ac:dyDescent="0.3">
      <c r="A715" s="2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5.75" customHeight="1" x14ac:dyDescent="0.3">
      <c r="A716" s="2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5.75" customHeight="1" x14ac:dyDescent="0.3">
      <c r="A717" s="2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5.75" customHeight="1" x14ac:dyDescent="0.3">
      <c r="A718" s="2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5.75" customHeight="1" x14ac:dyDescent="0.3">
      <c r="A719" s="2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5.75" customHeight="1" x14ac:dyDescent="0.3">
      <c r="A720" s="2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5.75" customHeight="1" x14ac:dyDescent="0.3">
      <c r="A721" s="2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5.75" customHeight="1" x14ac:dyDescent="0.3">
      <c r="A722" s="2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5.75" customHeight="1" x14ac:dyDescent="0.3">
      <c r="A723" s="2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5.75" customHeight="1" x14ac:dyDescent="0.3">
      <c r="A724" s="2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5.75" customHeight="1" x14ac:dyDescent="0.3">
      <c r="A725" s="2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5.75" customHeight="1" x14ac:dyDescent="0.3">
      <c r="A726" s="2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5.75" customHeight="1" x14ac:dyDescent="0.3">
      <c r="A727" s="2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5.75" customHeight="1" x14ac:dyDescent="0.3">
      <c r="A728" s="2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5.75" customHeight="1" x14ac:dyDescent="0.3">
      <c r="A729" s="2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5.75" customHeight="1" x14ac:dyDescent="0.3">
      <c r="A730" s="2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5.75" customHeight="1" x14ac:dyDescent="0.3">
      <c r="A731" s="2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5.75" customHeight="1" x14ac:dyDescent="0.3">
      <c r="A732" s="2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5.75" customHeight="1" x14ac:dyDescent="0.3">
      <c r="A733" s="2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5.75" customHeight="1" x14ac:dyDescent="0.3">
      <c r="A734" s="2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5.75" customHeight="1" x14ac:dyDescent="0.3">
      <c r="A735" s="2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5.75" customHeight="1" x14ac:dyDescent="0.3">
      <c r="A736" s="2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5.75" customHeight="1" x14ac:dyDescent="0.3">
      <c r="A737" s="2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5.75" customHeight="1" x14ac:dyDescent="0.3">
      <c r="A738" s="2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5.75" customHeight="1" x14ac:dyDescent="0.3">
      <c r="A739" s="2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5.75" customHeight="1" x14ac:dyDescent="0.3">
      <c r="A740" s="2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5.75" customHeight="1" x14ac:dyDescent="0.3">
      <c r="A741" s="2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5.75" customHeight="1" x14ac:dyDescent="0.3">
      <c r="A742" s="2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5.75" customHeight="1" x14ac:dyDescent="0.3">
      <c r="A743" s="2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5.75" customHeight="1" x14ac:dyDescent="0.3">
      <c r="A744" s="2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5.75" customHeight="1" x14ac:dyDescent="0.3">
      <c r="A745" s="2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5.75" customHeight="1" x14ac:dyDescent="0.3">
      <c r="A746" s="2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5.75" customHeight="1" x14ac:dyDescent="0.3">
      <c r="A747" s="2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5.75" customHeight="1" x14ac:dyDescent="0.3">
      <c r="A748" s="2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5.75" customHeight="1" x14ac:dyDescent="0.3">
      <c r="A749" s="2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5.75" customHeight="1" x14ac:dyDescent="0.3">
      <c r="A750" s="2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5.75" customHeight="1" x14ac:dyDescent="0.3">
      <c r="A751" s="2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5.75" customHeight="1" x14ac:dyDescent="0.3">
      <c r="A752" s="2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5.75" customHeight="1" x14ac:dyDescent="0.3">
      <c r="A753" s="2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5.75" customHeight="1" x14ac:dyDescent="0.3">
      <c r="A754" s="2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5.75" customHeight="1" x14ac:dyDescent="0.3">
      <c r="A755" s="2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5.75" customHeight="1" x14ac:dyDescent="0.3">
      <c r="A756" s="2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5.75" customHeight="1" x14ac:dyDescent="0.3">
      <c r="A757" s="2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5.75" customHeight="1" x14ac:dyDescent="0.3">
      <c r="A758" s="2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5.75" customHeight="1" x14ac:dyDescent="0.3">
      <c r="A759" s="2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5.75" customHeight="1" x14ac:dyDescent="0.3">
      <c r="A760" s="2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5.75" customHeight="1" x14ac:dyDescent="0.3">
      <c r="A761" s="2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5.75" customHeight="1" x14ac:dyDescent="0.3">
      <c r="A762" s="2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5.75" customHeight="1" x14ac:dyDescent="0.3">
      <c r="A763" s="2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5.75" customHeight="1" x14ac:dyDescent="0.3">
      <c r="A764" s="2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5.75" customHeight="1" x14ac:dyDescent="0.3">
      <c r="A765" s="2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5.75" customHeight="1" x14ac:dyDescent="0.3">
      <c r="A766" s="2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5.75" customHeight="1" x14ac:dyDescent="0.3">
      <c r="A767" s="2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5.75" customHeight="1" x14ac:dyDescent="0.3">
      <c r="A768" s="2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5.75" customHeight="1" x14ac:dyDescent="0.3">
      <c r="A769" s="2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5.75" customHeight="1" x14ac:dyDescent="0.3">
      <c r="A770" s="2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5.75" customHeight="1" x14ac:dyDescent="0.3">
      <c r="A771" s="2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5.75" customHeight="1" x14ac:dyDescent="0.3">
      <c r="A772" s="2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5.75" customHeight="1" x14ac:dyDescent="0.3">
      <c r="A773" s="2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5.75" customHeight="1" x14ac:dyDescent="0.3">
      <c r="A774" s="2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5.75" customHeight="1" x14ac:dyDescent="0.3">
      <c r="A775" s="2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5.75" customHeight="1" x14ac:dyDescent="0.3">
      <c r="A776" s="2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5.75" customHeight="1" x14ac:dyDescent="0.3">
      <c r="A777" s="2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5.75" customHeight="1" x14ac:dyDescent="0.3">
      <c r="A778" s="2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5.75" customHeight="1" x14ac:dyDescent="0.3">
      <c r="A779" s="2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5.75" customHeight="1" x14ac:dyDescent="0.3">
      <c r="A780" s="2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5.75" customHeight="1" x14ac:dyDescent="0.3">
      <c r="A781" s="2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5.75" customHeight="1" x14ac:dyDescent="0.3">
      <c r="A782" s="2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5.75" customHeight="1" x14ac:dyDescent="0.3">
      <c r="A783" s="2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5.75" customHeight="1" x14ac:dyDescent="0.3">
      <c r="A784" s="2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5.75" customHeight="1" x14ac:dyDescent="0.3">
      <c r="A785" s="2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5.75" customHeight="1" x14ac:dyDescent="0.3">
      <c r="A786" s="2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5.75" customHeight="1" x14ac:dyDescent="0.3">
      <c r="A787" s="2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5.75" customHeight="1" x14ac:dyDescent="0.3">
      <c r="A788" s="2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5.75" customHeight="1" x14ac:dyDescent="0.3">
      <c r="A789" s="2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5.75" customHeight="1" x14ac:dyDescent="0.3">
      <c r="A790" s="2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5.75" customHeight="1" x14ac:dyDescent="0.3">
      <c r="A791" s="2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5.75" customHeight="1" x14ac:dyDescent="0.3">
      <c r="A792" s="2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5.75" customHeight="1" x14ac:dyDescent="0.3">
      <c r="A793" s="2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5.75" customHeight="1" x14ac:dyDescent="0.3">
      <c r="A794" s="2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5.75" customHeight="1" x14ac:dyDescent="0.3">
      <c r="A795" s="2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5.75" customHeight="1" x14ac:dyDescent="0.3">
      <c r="A796" s="2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5.75" customHeight="1" x14ac:dyDescent="0.3">
      <c r="A797" s="2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5.75" customHeight="1" x14ac:dyDescent="0.3">
      <c r="A798" s="2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5.75" customHeight="1" x14ac:dyDescent="0.3">
      <c r="A799" s="2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5.75" customHeight="1" x14ac:dyDescent="0.3">
      <c r="A800" s="2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5.75" customHeight="1" x14ac:dyDescent="0.3">
      <c r="A801" s="2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5.75" customHeight="1" x14ac:dyDescent="0.3">
      <c r="A802" s="2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5.75" customHeight="1" x14ac:dyDescent="0.3">
      <c r="A803" s="2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5.75" customHeight="1" x14ac:dyDescent="0.3">
      <c r="A804" s="2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5.75" customHeight="1" x14ac:dyDescent="0.3">
      <c r="A805" s="2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5.75" customHeight="1" x14ac:dyDescent="0.3">
      <c r="A806" s="2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5.75" customHeight="1" x14ac:dyDescent="0.3">
      <c r="A807" s="2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5.75" customHeight="1" x14ac:dyDescent="0.3">
      <c r="A808" s="2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5.75" customHeight="1" x14ac:dyDescent="0.3">
      <c r="A809" s="2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 ht="15.75" customHeight="1" x14ac:dyDescent="0.3">
      <c r="A810" s="2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 ht="15.75" customHeight="1" x14ac:dyDescent="0.3">
      <c r="A811" s="2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 ht="15.75" customHeight="1" x14ac:dyDescent="0.3">
      <c r="A812" s="2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 ht="15.75" customHeight="1" x14ac:dyDescent="0.3">
      <c r="A813" s="2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 ht="15.75" customHeight="1" x14ac:dyDescent="0.3">
      <c r="A814" s="2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 ht="15.75" customHeight="1" x14ac:dyDescent="0.3">
      <c r="A815" s="2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 ht="15.75" customHeight="1" x14ac:dyDescent="0.3">
      <c r="A816" s="2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 ht="15.75" customHeight="1" x14ac:dyDescent="0.3">
      <c r="A817" s="2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 ht="15.75" customHeight="1" x14ac:dyDescent="0.3">
      <c r="A818" s="2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 ht="15.75" customHeight="1" x14ac:dyDescent="0.3">
      <c r="A819" s="2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 ht="15.75" customHeight="1" x14ac:dyDescent="0.3">
      <c r="A820" s="2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 ht="15.75" customHeight="1" x14ac:dyDescent="0.3">
      <c r="A821" s="2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 ht="15.75" customHeight="1" x14ac:dyDescent="0.3">
      <c r="A822" s="2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 ht="15.75" customHeight="1" x14ac:dyDescent="0.3">
      <c r="A823" s="2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 ht="15.75" customHeight="1" x14ac:dyDescent="0.3">
      <c r="A824" s="2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 ht="15.75" customHeight="1" x14ac:dyDescent="0.3">
      <c r="A825" s="2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 ht="15.75" customHeight="1" x14ac:dyDescent="0.3">
      <c r="A826" s="2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 ht="15.75" customHeight="1" x14ac:dyDescent="0.3">
      <c r="A827" s="2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 ht="15.75" customHeight="1" x14ac:dyDescent="0.3">
      <c r="A828" s="2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 ht="15.75" customHeight="1" x14ac:dyDescent="0.3">
      <c r="A829" s="2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 ht="15.75" customHeight="1" x14ac:dyDescent="0.3">
      <c r="A830" s="2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 ht="15.75" customHeight="1" x14ac:dyDescent="0.3">
      <c r="A831" s="2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 ht="15.75" customHeight="1" x14ac:dyDescent="0.3">
      <c r="A832" s="2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 ht="15.75" customHeight="1" x14ac:dyDescent="0.3">
      <c r="A833" s="2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 ht="15.75" customHeight="1" x14ac:dyDescent="0.3">
      <c r="A834" s="2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 ht="15.75" customHeight="1" x14ac:dyDescent="0.3">
      <c r="A835" s="2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 ht="15.75" customHeight="1" x14ac:dyDescent="0.3">
      <c r="A836" s="2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 ht="15.75" customHeight="1" x14ac:dyDescent="0.3">
      <c r="A837" s="2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 ht="15.75" customHeight="1" x14ac:dyDescent="0.3">
      <c r="A838" s="2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 ht="15.75" customHeight="1" x14ac:dyDescent="0.3">
      <c r="A839" s="2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 ht="15.75" customHeight="1" x14ac:dyDescent="0.3">
      <c r="A840" s="2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 ht="15.75" customHeight="1" x14ac:dyDescent="0.3">
      <c r="A841" s="2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 ht="15.75" customHeight="1" x14ac:dyDescent="0.3">
      <c r="A842" s="2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 ht="15.75" customHeight="1" x14ac:dyDescent="0.3">
      <c r="A843" s="2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 ht="15.75" customHeight="1" x14ac:dyDescent="0.3">
      <c r="A844" s="2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 ht="15.75" customHeight="1" x14ac:dyDescent="0.3">
      <c r="A845" s="2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 ht="15.75" customHeight="1" x14ac:dyDescent="0.3">
      <c r="A846" s="2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 ht="15.75" customHeight="1" x14ac:dyDescent="0.3">
      <c r="A847" s="2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 ht="15.75" customHeight="1" x14ac:dyDescent="0.3">
      <c r="A848" s="2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 ht="15.75" customHeight="1" x14ac:dyDescent="0.3">
      <c r="A849" s="2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 ht="15.75" customHeight="1" x14ac:dyDescent="0.3">
      <c r="A850" s="2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 ht="15.75" customHeight="1" x14ac:dyDescent="0.3">
      <c r="A851" s="2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 ht="15.75" customHeight="1" x14ac:dyDescent="0.3">
      <c r="A852" s="2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 ht="15.75" customHeight="1" x14ac:dyDescent="0.3">
      <c r="A853" s="2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 ht="15.75" customHeight="1" x14ac:dyDescent="0.3">
      <c r="A854" s="2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 ht="15.75" customHeight="1" x14ac:dyDescent="0.3">
      <c r="A855" s="2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 ht="15.75" customHeight="1" x14ac:dyDescent="0.3">
      <c r="A856" s="2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 ht="15.75" customHeight="1" x14ac:dyDescent="0.3">
      <c r="A857" s="2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 ht="15.75" customHeight="1" x14ac:dyDescent="0.3">
      <c r="A858" s="2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 ht="15.75" customHeight="1" x14ac:dyDescent="0.3">
      <c r="A859" s="2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 ht="15.75" customHeight="1" x14ac:dyDescent="0.3">
      <c r="A860" s="2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 ht="15.75" customHeight="1" x14ac:dyDescent="0.3">
      <c r="A861" s="2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 ht="15.75" customHeight="1" x14ac:dyDescent="0.3">
      <c r="A862" s="2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 ht="15.75" customHeight="1" x14ac:dyDescent="0.3">
      <c r="A863" s="2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 ht="15.75" customHeight="1" x14ac:dyDescent="0.3">
      <c r="A864" s="2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 ht="15.75" customHeight="1" x14ac:dyDescent="0.3">
      <c r="A865" s="2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 ht="15.75" customHeight="1" x14ac:dyDescent="0.3">
      <c r="A866" s="2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 ht="15.75" customHeight="1" x14ac:dyDescent="0.3">
      <c r="A867" s="2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 ht="15.75" customHeight="1" x14ac:dyDescent="0.3">
      <c r="A868" s="2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 ht="15.75" customHeight="1" x14ac:dyDescent="0.3">
      <c r="A869" s="2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 ht="15.75" customHeight="1" x14ac:dyDescent="0.3">
      <c r="A870" s="2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 ht="15.75" customHeight="1" x14ac:dyDescent="0.3">
      <c r="A871" s="2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 ht="15.75" customHeight="1" x14ac:dyDescent="0.3">
      <c r="A872" s="2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 ht="15.75" customHeight="1" x14ac:dyDescent="0.3">
      <c r="A873" s="2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 ht="15.75" customHeight="1" x14ac:dyDescent="0.3">
      <c r="A874" s="2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 ht="15.75" customHeight="1" x14ac:dyDescent="0.3">
      <c r="A875" s="2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 ht="15.75" customHeight="1" x14ac:dyDescent="0.3">
      <c r="A876" s="2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 ht="15.75" customHeight="1" x14ac:dyDescent="0.3">
      <c r="A877" s="2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 ht="15.75" customHeight="1" x14ac:dyDescent="0.3">
      <c r="A878" s="2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 ht="15.75" customHeight="1" x14ac:dyDescent="0.3">
      <c r="A879" s="2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 ht="15.75" customHeight="1" x14ac:dyDescent="0.3">
      <c r="A880" s="2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 ht="15.75" customHeight="1" x14ac:dyDescent="0.3">
      <c r="A881" s="2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 ht="15.75" customHeight="1" x14ac:dyDescent="0.3">
      <c r="A882" s="2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 ht="15.75" customHeight="1" x14ac:dyDescent="0.3">
      <c r="A883" s="2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 ht="15.75" customHeight="1" x14ac:dyDescent="0.3">
      <c r="A884" s="2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 ht="15.75" customHeight="1" x14ac:dyDescent="0.3">
      <c r="A885" s="2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 ht="15.75" customHeight="1" x14ac:dyDescent="0.3">
      <c r="A886" s="2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 ht="15.75" customHeight="1" x14ac:dyDescent="0.3">
      <c r="A887" s="2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 ht="15.75" customHeight="1" x14ac:dyDescent="0.3">
      <c r="A888" s="2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 ht="15.75" customHeight="1" x14ac:dyDescent="0.3">
      <c r="A889" s="2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 ht="15.75" customHeight="1" x14ac:dyDescent="0.3">
      <c r="A890" s="2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 ht="15.75" customHeight="1" x14ac:dyDescent="0.3">
      <c r="A891" s="2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 ht="15.75" customHeight="1" x14ac:dyDescent="0.3">
      <c r="A892" s="2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 ht="15.75" customHeight="1" x14ac:dyDescent="0.3">
      <c r="A893" s="2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 ht="15.75" customHeight="1" x14ac:dyDescent="0.3">
      <c r="A894" s="2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 ht="15.75" customHeight="1" x14ac:dyDescent="0.3">
      <c r="A895" s="2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 ht="15.75" customHeight="1" x14ac:dyDescent="0.3">
      <c r="A896" s="2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 ht="15.75" customHeight="1" x14ac:dyDescent="0.3">
      <c r="A897" s="2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 ht="15.75" customHeight="1" x14ac:dyDescent="0.3">
      <c r="A898" s="2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 ht="15.75" customHeight="1" x14ac:dyDescent="0.3">
      <c r="A899" s="2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 ht="15.75" customHeight="1" x14ac:dyDescent="0.3">
      <c r="A900" s="2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 ht="15.75" customHeight="1" x14ac:dyDescent="0.3">
      <c r="A901" s="2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 ht="15.75" customHeight="1" x14ac:dyDescent="0.3">
      <c r="A902" s="2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 ht="15.75" customHeight="1" x14ac:dyDescent="0.3">
      <c r="A903" s="2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 ht="15.75" customHeight="1" x14ac:dyDescent="0.3">
      <c r="A904" s="2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 ht="15.75" customHeight="1" x14ac:dyDescent="0.3">
      <c r="A905" s="2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 ht="15.75" customHeight="1" x14ac:dyDescent="0.3">
      <c r="A906" s="2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 ht="15.75" customHeight="1" x14ac:dyDescent="0.3">
      <c r="A907" s="2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 ht="15.75" customHeight="1" x14ac:dyDescent="0.3">
      <c r="A908" s="2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 ht="15.75" customHeight="1" x14ac:dyDescent="0.3">
      <c r="A909" s="2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 ht="15.75" customHeight="1" x14ac:dyDescent="0.3">
      <c r="A910" s="2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 ht="15.75" customHeight="1" x14ac:dyDescent="0.3">
      <c r="A911" s="2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 ht="15.75" customHeight="1" x14ac:dyDescent="0.3">
      <c r="A912" s="2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 ht="15.75" customHeight="1" x14ac:dyDescent="0.3">
      <c r="A913" s="2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 ht="15.75" customHeight="1" x14ac:dyDescent="0.3">
      <c r="A914" s="2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 ht="15.75" customHeight="1" x14ac:dyDescent="0.3">
      <c r="A915" s="2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 ht="15.75" customHeight="1" x14ac:dyDescent="0.3">
      <c r="A916" s="2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 ht="15.75" customHeight="1" x14ac:dyDescent="0.3">
      <c r="A917" s="2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 ht="15.75" customHeight="1" x14ac:dyDescent="0.3">
      <c r="A918" s="2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 ht="15.75" customHeight="1" x14ac:dyDescent="0.3">
      <c r="A919" s="2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 ht="15.75" customHeight="1" x14ac:dyDescent="0.3">
      <c r="A920" s="2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 ht="15.75" customHeight="1" x14ac:dyDescent="0.3">
      <c r="A921" s="2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 ht="15.75" customHeight="1" x14ac:dyDescent="0.3">
      <c r="A922" s="2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 ht="15.75" customHeight="1" x14ac:dyDescent="0.3">
      <c r="A923" s="2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 ht="15.75" customHeight="1" x14ac:dyDescent="0.3">
      <c r="A924" s="2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 ht="15.75" customHeight="1" x14ac:dyDescent="0.3">
      <c r="A925" s="2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 ht="15.75" customHeight="1" x14ac:dyDescent="0.3">
      <c r="A926" s="2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 ht="15.75" customHeight="1" x14ac:dyDescent="0.3">
      <c r="A927" s="2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 ht="15.75" customHeight="1" x14ac:dyDescent="0.3">
      <c r="A928" s="2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 ht="15.75" customHeight="1" x14ac:dyDescent="0.3">
      <c r="A929" s="2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 ht="15.75" customHeight="1" x14ac:dyDescent="0.3">
      <c r="A930" s="2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 ht="15.75" customHeight="1" x14ac:dyDescent="0.3">
      <c r="A931" s="2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 ht="15.75" customHeight="1" x14ac:dyDescent="0.3">
      <c r="A932" s="2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 ht="15.75" customHeight="1" x14ac:dyDescent="0.3">
      <c r="A933" s="2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 ht="15.75" customHeight="1" x14ac:dyDescent="0.3">
      <c r="A934" s="2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 ht="15.75" customHeight="1" x14ac:dyDescent="0.3">
      <c r="A935" s="2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 ht="15.75" customHeight="1" x14ac:dyDescent="0.3">
      <c r="A936" s="2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 ht="15.75" customHeight="1" x14ac:dyDescent="0.3">
      <c r="A937" s="2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 ht="15.75" customHeight="1" x14ac:dyDescent="0.3">
      <c r="A938" s="2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 ht="15.75" customHeight="1" x14ac:dyDescent="0.3">
      <c r="A939" s="2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 ht="15.75" customHeight="1" x14ac:dyDescent="0.3">
      <c r="A940" s="2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 ht="15.75" customHeight="1" x14ac:dyDescent="0.3">
      <c r="A941" s="2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 ht="15.75" customHeight="1" x14ac:dyDescent="0.3">
      <c r="A942" s="2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 ht="15.75" customHeight="1" x14ac:dyDescent="0.3">
      <c r="A943" s="2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 ht="15.75" customHeight="1" x14ac:dyDescent="0.3">
      <c r="A944" s="2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 ht="15.75" customHeight="1" x14ac:dyDescent="0.3">
      <c r="A945" s="2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 ht="15.75" customHeight="1" x14ac:dyDescent="0.3">
      <c r="A946" s="2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 ht="15.75" customHeight="1" x14ac:dyDescent="0.3">
      <c r="A947" s="2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 ht="15.75" customHeight="1" x14ac:dyDescent="0.3">
      <c r="A948" s="2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 ht="15.75" customHeight="1" x14ac:dyDescent="0.3">
      <c r="A949" s="2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 ht="15.75" customHeight="1" x14ac:dyDescent="0.3">
      <c r="A950" s="2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 ht="15.75" customHeight="1" x14ac:dyDescent="0.3">
      <c r="A951" s="2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 ht="15.75" customHeight="1" x14ac:dyDescent="0.3">
      <c r="A952" s="2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 ht="15.75" customHeight="1" x14ac:dyDescent="0.3">
      <c r="A953" s="2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 ht="15.75" customHeight="1" x14ac:dyDescent="0.3">
      <c r="A954" s="2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 ht="15.75" customHeight="1" x14ac:dyDescent="0.3">
      <c r="A955" s="2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 ht="15.75" customHeight="1" x14ac:dyDescent="0.3">
      <c r="A956" s="2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 ht="15.75" customHeight="1" x14ac:dyDescent="0.3">
      <c r="A957" s="2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 ht="15.75" customHeight="1" x14ac:dyDescent="0.3">
      <c r="A958" s="2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 ht="15.75" customHeight="1" x14ac:dyDescent="0.3">
      <c r="A959" s="2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 ht="15.75" customHeight="1" x14ac:dyDescent="0.3">
      <c r="A960" s="2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 ht="15.75" customHeight="1" x14ac:dyDescent="0.3">
      <c r="A961" s="2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 ht="15.75" customHeight="1" x14ac:dyDescent="0.3">
      <c r="A962" s="2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 ht="15.75" customHeight="1" x14ac:dyDescent="0.3">
      <c r="A963" s="2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 ht="15.75" customHeight="1" x14ac:dyDescent="0.3">
      <c r="A964" s="2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 ht="15.75" customHeight="1" x14ac:dyDescent="0.3">
      <c r="A965" s="2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 ht="15.75" customHeight="1" x14ac:dyDescent="0.3">
      <c r="A966" s="2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 spans="1:31" ht="15.75" customHeight="1" x14ac:dyDescent="0.3">
      <c r="A967" s="2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 spans="1:31" ht="15.75" customHeight="1" x14ac:dyDescent="0.3">
      <c r="A968" s="2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 spans="1:31" ht="15.75" customHeight="1" x14ac:dyDescent="0.3">
      <c r="A969" s="2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 spans="1:31" ht="15.75" customHeight="1" x14ac:dyDescent="0.3">
      <c r="A970" s="2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 spans="1:31" ht="15.75" customHeight="1" x14ac:dyDescent="0.3">
      <c r="A971" s="2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 spans="1:31" ht="15.75" customHeight="1" x14ac:dyDescent="0.3">
      <c r="A972" s="2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 spans="1:31" ht="15.75" customHeight="1" x14ac:dyDescent="0.3">
      <c r="A973" s="2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 spans="1:31" ht="15.75" customHeight="1" x14ac:dyDescent="0.3">
      <c r="A974" s="2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 spans="1:31" ht="15.75" customHeight="1" x14ac:dyDescent="0.3">
      <c r="A975" s="2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 spans="1:31" ht="15.75" customHeight="1" x14ac:dyDescent="0.3">
      <c r="A976" s="2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 spans="1:31" ht="15.75" customHeight="1" x14ac:dyDescent="0.3">
      <c r="A977" s="2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 spans="1:31" ht="15.75" customHeight="1" x14ac:dyDescent="0.3">
      <c r="A978" s="2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 spans="1:31" ht="15.75" customHeight="1" x14ac:dyDescent="0.3">
      <c r="A979" s="2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 spans="1:31" ht="15.75" customHeight="1" x14ac:dyDescent="0.3">
      <c r="A980" s="2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 spans="1:31" ht="15.75" customHeight="1" x14ac:dyDescent="0.3">
      <c r="A981" s="2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 spans="1:31" ht="15.75" customHeight="1" x14ac:dyDescent="0.3">
      <c r="A982" s="2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 spans="1:31" ht="15.75" customHeight="1" x14ac:dyDescent="0.3">
      <c r="A983" s="2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 spans="1:31" ht="15.75" customHeight="1" x14ac:dyDescent="0.3">
      <c r="A984" s="2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 spans="1:31" ht="15.75" customHeight="1" x14ac:dyDescent="0.3">
      <c r="A985" s="2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 spans="1:31" ht="15.75" customHeight="1" x14ac:dyDescent="0.3">
      <c r="A986" s="2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 spans="1:31" ht="15.75" customHeight="1" x14ac:dyDescent="0.3">
      <c r="A987" s="2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 spans="1:31" ht="15.75" customHeight="1" x14ac:dyDescent="0.3">
      <c r="A988" s="2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 spans="1:31" ht="15.75" customHeight="1" x14ac:dyDescent="0.3">
      <c r="A989" s="2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 spans="1:31" ht="15.75" customHeight="1" x14ac:dyDescent="0.3">
      <c r="A990" s="2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 spans="1:31" ht="15.75" customHeight="1" x14ac:dyDescent="0.3">
      <c r="A991" s="2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 spans="1:31" ht="15.75" customHeight="1" x14ac:dyDescent="0.3">
      <c r="A992" s="2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 spans="1:31" ht="15.75" customHeight="1" x14ac:dyDescent="0.3">
      <c r="A993" s="2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 spans="1:31" ht="15.75" customHeight="1" x14ac:dyDescent="0.3">
      <c r="A994" s="2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 spans="1:31" ht="15.75" customHeight="1" x14ac:dyDescent="0.3">
      <c r="A995" s="2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 spans="1:31" ht="15.75" customHeight="1" x14ac:dyDescent="0.3">
      <c r="A996" s="2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 spans="1:31" ht="15.75" customHeight="1" x14ac:dyDescent="0.3">
      <c r="A997" s="2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 spans="1:31" ht="15.75" customHeight="1" x14ac:dyDescent="0.3">
      <c r="A998" s="2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  <row r="999" spans="1:31" ht="15.75" customHeight="1" x14ac:dyDescent="0.3">
      <c r="A999" s="2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</row>
  </sheetData>
  <mergeCells count="1">
    <mergeCell ref="K10:K12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Q912"/>
  <sheetViews>
    <sheetView tabSelected="1" workbookViewId="0">
      <selection activeCell="D46" sqref="D46"/>
    </sheetView>
  </sheetViews>
  <sheetFormatPr defaultColWidth="14.44140625" defaultRowHeight="15" customHeight="1" outlineLevelRow="1" x14ac:dyDescent="0.3"/>
  <cols>
    <col min="1" max="1" width="20" bestFit="1" customWidth="1"/>
    <col min="2" max="2" width="12.44140625" customWidth="1"/>
    <col min="3" max="3" width="43.21875" customWidth="1"/>
    <col min="4" max="4" width="42.21875" customWidth="1"/>
    <col min="5" max="5" width="26.5546875" customWidth="1"/>
    <col min="6" max="6" width="17.88671875" customWidth="1"/>
    <col min="7" max="7" width="14.109375" customWidth="1"/>
    <col min="8" max="9" width="10" customWidth="1"/>
    <col min="10" max="10" width="3.33203125" customWidth="1"/>
    <col min="11" max="11" width="57.33203125" customWidth="1"/>
    <col min="12" max="27" width="8.6640625" customWidth="1"/>
  </cols>
  <sheetData>
    <row r="1" spans="1:12" ht="14.4" x14ac:dyDescent="0.3">
      <c r="A1" t="s">
        <v>151</v>
      </c>
      <c r="B1" s="19" t="s">
        <v>16</v>
      </c>
      <c r="C1" s="20" t="s">
        <v>172</v>
      </c>
      <c r="D1" s="20" t="s">
        <v>173</v>
      </c>
      <c r="E1" s="20" t="s">
        <v>174</v>
      </c>
      <c r="F1" s="21" t="s">
        <v>175</v>
      </c>
      <c r="G1" s="22" t="s">
        <v>17</v>
      </c>
      <c r="H1" s="2"/>
      <c r="I1" s="2"/>
      <c r="J1" s="176" t="s">
        <v>18</v>
      </c>
      <c r="K1" s="177"/>
      <c r="L1" s="178"/>
    </row>
    <row r="2" spans="1:12" thickBot="1" x14ac:dyDescent="0.35">
      <c r="B2" s="23"/>
      <c r="C2" s="24"/>
      <c r="D2" s="24"/>
      <c r="E2" s="24"/>
      <c r="F2" s="25"/>
      <c r="G2" s="26">
        <v>46161</v>
      </c>
      <c r="H2" s="2"/>
      <c r="I2" s="2"/>
      <c r="J2" s="27" t="s">
        <v>19</v>
      </c>
      <c r="K2" s="27" t="s">
        <v>20</v>
      </c>
      <c r="L2" s="27" t="s">
        <v>21</v>
      </c>
    </row>
    <row r="3" spans="1:12" ht="26.4" x14ac:dyDescent="0.3">
      <c r="A3" s="121" t="s">
        <v>150</v>
      </c>
      <c r="B3" s="122" t="s">
        <v>145</v>
      </c>
      <c r="C3" s="123"/>
      <c r="D3" s="123"/>
      <c r="E3" s="123"/>
      <c r="F3" s="123"/>
      <c r="G3" s="113"/>
      <c r="H3" s="2"/>
      <c r="I3" s="2"/>
      <c r="J3" s="8"/>
      <c r="K3" s="8"/>
      <c r="L3" s="8"/>
    </row>
    <row r="4" spans="1:12" ht="18.600000000000001" customHeight="1" x14ac:dyDescent="0.3">
      <c r="A4" s="124"/>
      <c r="B4" s="123"/>
      <c r="C4" s="122" t="s">
        <v>146</v>
      </c>
      <c r="D4" s="123" t="s">
        <v>171</v>
      </c>
      <c r="E4" s="123" t="s">
        <v>176</v>
      </c>
      <c r="F4" s="123" t="s">
        <v>178</v>
      </c>
      <c r="G4" s="114"/>
      <c r="H4" s="2"/>
      <c r="I4" s="2"/>
      <c r="J4" s="8"/>
      <c r="K4" s="8"/>
      <c r="L4" s="8"/>
    </row>
    <row r="5" spans="1:12" ht="14.4" hidden="1" outlineLevel="1" x14ac:dyDescent="0.3">
      <c r="A5" s="124"/>
      <c r="B5" s="123"/>
      <c r="C5" s="123"/>
      <c r="D5" s="123" t="s">
        <v>22</v>
      </c>
      <c r="E5" s="123"/>
      <c r="F5" s="123"/>
      <c r="G5" s="114"/>
      <c r="H5" s="2"/>
      <c r="I5" s="2"/>
      <c r="J5" s="8"/>
      <c r="K5" s="8"/>
      <c r="L5" s="8"/>
    </row>
    <row r="6" spans="1:12" ht="14.4" hidden="1" outlineLevel="1" x14ac:dyDescent="0.3">
      <c r="A6" s="124"/>
      <c r="B6" s="123"/>
      <c r="C6" s="123"/>
      <c r="D6" s="123" t="s">
        <v>23</v>
      </c>
      <c r="E6" s="123"/>
      <c r="F6" s="123"/>
      <c r="G6" s="114"/>
      <c r="H6" s="2"/>
      <c r="I6" s="2"/>
      <c r="J6" s="8"/>
      <c r="K6" s="8"/>
      <c r="L6" s="8"/>
    </row>
    <row r="7" spans="1:12" ht="14.4" hidden="1" outlineLevel="1" x14ac:dyDescent="0.3">
      <c r="A7" s="124"/>
      <c r="B7" s="123"/>
      <c r="C7" s="123"/>
      <c r="D7" s="123" t="s">
        <v>24</v>
      </c>
      <c r="E7" s="123"/>
      <c r="F7" s="123"/>
      <c r="G7" s="114"/>
      <c r="H7" s="2"/>
      <c r="I7" s="2"/>
      <c r="J7" s="8"/>
      <c r="K7" s="8"/>
      <c r="L7" s="8"/>
    </row>
    <row r="8" spans="1:12" ht="14.4" hidden="1" outlineLevel="1" x14ac:dyDescent="0.3">
      <c r="A8" s="124"/>
      <c r="B8" s="123"/>
      <c r="C8" s="123"/>
      <c r="D8" s="123" t="s">
        <v>25</v>
      </c>
      <c r="E8" s="123"/>
      <c r="F8" s="123"/>
      <c r="G8" s="117">
        <v>1</v>
      </c>
      <c r="H8" s="2"/>
      <c r="I8" s="2"/>
      <c r="J8" s="8">
        <v>1</v>
      </c>
      <c r="K8" s="8" t="s">
        <v>26</v>
      </c>
      <c r="L8" s="8" t="s">
        <v>27</v>
      </c>
    </row>
    <row r="9" spans="1:12" ht="14.4" outlineLevel="1" x14ac:dyDescent="0.3">
      <c r="A9" s="124"/>
      <c r="B9" s="123"/>
      <c r="C9" s="125" t="s">
        <v>248</v>
      </c>
      <c r="D9" s="123" t="s">
        <v>249</v>
      </c>
      <c r="E9" s="123" t="s">
        <v>177</v>
      </c>
      <c r="F9" s="123" t="s">
        <v>178</v>
      </c>
      <c r="G9" s="114"/>
      <c r="H9" s="2"/>
      <c r="I9" s="2"/>
      <c r="J9" s="8"/>
      <c r="K9" s="104"/>
      <c r="L9" s="104"/>
    </row>
    <row r="10" spans="1:12" ht="14.4" outlineLevel="1" x14ac:dyDescent="0.3">
      <c r="A10" s="124"/>
      <c r="B10" s="123"/>
      <c r="C10" s="155" t="s">
        <v>250</v>
      </c>
      <c r="D10" s="123" t="s">
        <v>251</v>
      </c>
      <c r="E10" s="123" t="s">
        <v>177</v>
      </c>
      <c r="F10" s="123" t="s">
        <v>178</v>
      </c>
      <c r="G10" s="156"/>
      <c r="H10" s="2"/>
      <c r="I10" s="2"/>
      <c r="J10" s="112"/>
      <c r="K10" s="157"/>
      <c r="L10" s="157"/>
    </row>
    <row r="11" spans="1:12" ht="14.4" outlineLevel="1" x14ac:dyDescent="0.3">
      <c r="A11" s="124"/>
      <c r="B11" s="123"/>
      <c r="C11" s="155" t="s">
        <v>252</v>
      </c>
      <c r="D11" s="123" t="s">
        <v>253</v>
      </c>
      <c r="E11" s="123" t="s">
        <v>177</v>
      </c>
      <c r="F11" s="123" t="s">
        <v>178</v>
      </c>
      <c r="G11" s="156"/>
      <c r="H11" s="2"/>
      <c r="I11" s="2"/>
      <c r="J11" s="112"/>
      <c r="K11" s="157"/>
      <c r="L11" s="157"/>
    </row>
    <row r="12" spans="1:12" ht="14.4" outlineLevel="1" x14ac:dyDescent="0.3">
      <c r="A12" s="124"/>
      <c r="B12" s="123"/>
      <c r="C12" s="155" t="s">
        <v>254</v>
      </c>
      <c r="D12" s="123" t="s">
        <v>255</v>
      </c>
      <c r="E12" s="123" t="s">
        <v>177</v>
      </c>
      <c r="F12" s="123" t="s">
        <v>178</v>
      </c>
      <c r="G12" s="156"/>
      <c r="H12" s="2"/>
      <c r="I12" s="2"/>
      <c r="J12" s="112"/>
      <c r="K12" s="157"/>
      <c r="L12" s="157"/>
    </row>
    <row r="13" spans="1:12" ht="14.4" outlineLevel="1" x14ac:dyDescent="0.3">
      <c r="A13" s="124"/>
      <c r="B13" s="123"/>
      <c r="C13" s="126" t="s">
        <v>147</v>
      </c>
      <c r="D13" s="123" t="s">
        <v>179</v>
      </c>
      <c r="E13" s="123" t="s">
        <v>180</v>
      </c>
      <c r="F13" s="123" t="s">
        <v>181</v>
      </c>
      <c r="G13" s="118"/>
      <c r="H13" s="2"/>
      <c r="I13" s="2"/>
      <c r="J13" s="84">
        <v>1</v>
      </c>
      <c r="K13" s="105" t="s">
        <v>131</v>
      </c>
      <c r="L13" s="105" t="s">
        <v>29</v>
      </c>
    </row>
    <row r="14" spans="1:12" ht="14.4" outlineLevel="1" x14ac:dyDescent="0.3">
      <c r="A14" s="124"/>
      <c r="B14" s="158"/>
      <c r="C14" s="159" t="s">
        <v>256</v>
      </c>
      <c r="D14" s="161" t="s">
        <v>257</v>
      </c>
      <c r="E14" s="122" t="s">
        <v>258</v>
      </c>
      <c r="F14" s="123" t="s">
        <v>178</v>
      </c>
      <c r="G14" s="119"/>
      <c r="H14" s="2"/>
      <c r="I14" s="2"/>
      <c r="J14" s="112"/>
      <c r="K14" s="105"/>
      <c r="L14" s="105"/>
    </row>
    <row r="15" spans="1:12" ht="14.4" outlineLevel="1" x14ac:dyDescent="0.3">
      <c r="A15" s="124"/>
      <c r="B15" s="127"/>
      <c r="C15" s="128" t="s">
        <v>182</v>
      </c>
      <c r="D15" s="123" t="s">
        <v>183</v>
      </c>
      <c r="E15" s="123" t="s">
        <v>184</v>
      </c>
      <c r="F15" s="129" t="s">
        <v>178</v>
      </c>
      <c r="G15" s="119"/>
      <c r="H15" s="2"/>
      <c r="I15" s="2"/>
      <c r="J15" s="84"/>
      <c r="K15" s="105"/>
      <c r="L15" s="105"/>
    </row>
    <row r="16" spans="1:12" ht="14.4" outlineLevel="1" x14ac:dyDescent="0.3">
      <c r="A16" s="124"/>
      <c r="B16" s="130"/>
      <c r="C16" s="131" t="s">
        <v>259</v>
      </c>
      <c r="D16" s="160" t="s">
        <v>260</v>
      </c>
      <c r="E16" s="122" t="s">
        <v>261</v>
      </c>
      <c r="F16" s="129" t="s">
        <v>178</v>
      </c>
      <c r="G16" s="119"/>
      <c r="H16" s="2"/>
      <c r="I16" s="2"/>
      <c r="J16" s="112"/>
      <c r="K16" s="105"/>
      <c r="L16" s="105"/>
    </row>
    <row r="17" spans="1:95" ht="14.4" outlineLevel="1" x14ac:dyDescent="0.3">
      <c r="A17" s="124"/>
      <c r="B17" s="130"/>
      <c r="C17" s="131" t="s">
        <v>262</v>
      </c>
      <c r="D17" s="160" t="s">
        <v>263</v>
      </c>
      <c r="E17" s="122" t="s">
        <v>264</v>
      </c>
      <c r="F17" s="129" t="s">
        <v>178</v>
      </c>
      <c r="G17" s="119"/>
      <c r="H17" s="2"/>
      <c r="I17" s="2"/>
      <c r="J17" s="112"/>
      <c r="K17" s="105"/>
      <c r="L17" s="105"/>
    </row>
    <row r="18" spans="1:95" ht="14.4" outlineLevel="1" x14ac:dyDescent="0.3">
      <c r="A18" s="124"/>
      <c r="B18" s="130"/>
      <c r="C18" s="131" t="s">
        <v>265</v>
      </c>
      <c r="D18" s="160" t="s">
        <v>266</v>
      </c>
      <c r="E18" s="122" t="s">
        <v>267</v>
      </c>
      <c r="F18" s="129" t="s">
        <v>178</v>
      </c>
      <c r="G18" s="119"/>
      <c r="H18" s="2"/>
      <c r="I18" s="2"/>
      <c r="J18" s="112"/>
      <c r="K18" s="105"/>
      <c r="L18" s="105"/>
    </row>
    <row r="19" spans="1:95" ht="14.4" outlineLevel="1" x14ac:dyDescent="0.3">
      <c r="A19" s="124"/>
      <c r="B19" s="130"/>
      <c r="C19" s="131" t="s">
        <v>268</v>
      </c>
      <c r="D19" s="160" t="s">
        <v>269</v>
      </c>
      <c r="E19" s="122" t="s">
        <v>270</v>
      </c>
      <c r="F19" s="129" t="s">
        <v>178</v>
      </c>
      <c r="G19" s="119"/>
      <c r="H19" s="2"/>
      <c r="I19" s="2"/>
      <c r="J19" s="112"/>
      <c r="K19" s="105"/>
      <c r="L19" s="105"/>
    </row>
    <row r="20" spans="1:95" ht="14.4" outlineLevel="1" x14ac:dyDescent="0.3">
      <c r="A20" s="124"/>
      <c r="B20" s="130"/>
      <c r="C20" s="131" t="s">
        <v>271</v>
      </c>
      <c r="D20" s="160" t="s">
        <v>272</v>
      </c>
      <c r="E20" s="122" t="s">
        <v>273</v>
      </c>
      <c r="F20" s="129" t="s">
        <v>178</v>
      </c>
      <c r="G20" s="119"/>
      <c r="H20" s="2"/>
      <c r="I20" s="2"/>
      <c r="J20" s="112"/>
      <c r="K20" s="105"/>
      <c r="L20" s="105"/>
    </row>
    <row r="21" spans="1:95" ht="14.4" outlineLevel="1" x14ac:dyDescent="0.3">
      <c r="A21" s="124"/>
      <c r="B21" s="130"/>
      <c r="C21" s="131" t="s">
        <v>274</v>
      </c>
      <c r="D21" s="160" t="s">
        <v>275</v>
      </c>
      <c r="E21" s="122" t="s">
        <v>276</v>
      </c>
      <c r="F21" s="129" t="s">
        <v>178</v>
      </c>
      <c r="G21" s="119"/>
      <c r="H21" s="2"/>
      <c r="I21" s="2"/>
      <c r="J21" s="112"/>
      <c r="K21" s="105"/>
      <c r="L21" s="105"/>
    </row>
    <row r="22" spans="1:95" ht="14.4" outlineLevel="1" x14ac:dyDescent="0.3">
      <c r="A22" s="124"/>
      <c r="B22" s="130"/>
      <c r="C22" s="131" t="s">
        <v>277</v>
      </c>
      <c r="D22" s="160" t="s">
        <v>278</v>
      </c>
      <c r="E22" s="122" t="s">
        <v>270</v>
      </c>
      <c r="F22" s="129" t="s">
        <v>178</v>
      </c>
      <c r="G22" s="119"/>
      <c r="H22" s="2"/>
      <c r="I22" s="2"/>
      <c r="J22" s="112"/>
      <c r="K22" s="105"/>
      <c r="L22" s="105"/>
    </row>
    <row r="23" spans="1:95" ht="14.4" outlineLevel="1" x14ac:dyDescent="0.3">
      <c r="A23" s="124"/>
      <c r="B23" s="130"/>
      <c r="C23" s="131" t="s">
        <v>279</v>
      </c>
      <c r="D23" s="160" t="s">
        <v>280</v>
      </c>
      <c r="E23" s="122" t="s">
        <v>281</v>
      </c>
      <c r="F23" s="129" t="s">
        <v>178</v>
      </c>
      <c r="G23" s="119"/>
      <c r="H23" s="2"/>
      <c r="I23" s="2"/>
      <c r="J23" s="112"/>
      <c r="K23" s="105"/>
      <c r="L23" s="105"/>
    </row>
    <row r="24" spans="1:95" ht="14.4" outlineLevel="1" x14ac:dyDescent="0.3">
      <c r="A24" s="124"/>
      <c r="B24" s="130"/>
      <c r="C24" s="131" t="s">
        <v>282</v>
      </c>
      <c r="D24" s="160" t="s">
        <v>283</v>
      </c>
      <c r="E24" s="122" t="s">
        <v>284</v>
      </c>
      <c r="F24" s="129" t="s">
        <v>178</v>
      </c>
      <c r="G24" s="119"/>
      <c r="H24" s="2"/>
      <c r="I24" s="2"/>
      <c r="J24" s="106"/>
      <c r="K24" s="105"/>
      <c r="L24" s="105"/>
    </row>
    <row r="25" spans="1:95" ht="14.4" outlineLevel="1" x14ac:dyDescent="0.3">
      <c r="A25" s="124"/>
      <c r="B25" s="130"/>
      <c r="C25" s="131" t="s">
        <v>285</v>
      </c>
      <c r="D25" s="160" t="s">
        <v>286</v>
      </c>
      <c r="E25" s="122" t="s">
        <v>287</v>
      </c>
      <c r="F25" s="129" t="s">
        <v>178</v>
      </c>
      <c r="G25" s="119"/>
      <c r="H25" s="2"/>
      <c r="I25" s="2"/>
      <c r="J25" s="112"/>
      <c r="K25" s="105"/>
      <c r="L25" s="105"/>
    </row>
    <row r="26" spans="1:95" ht="14.4" outlineLevel="1" x14ac:dyDescent="0.3">
      <c r="A26" s="124"/>
      <c r="B26" s="131" t="s">
        <v>187</v>
      </c>
      <c r="C26" s="131"/>
      <c r="D26" s="132"/>
      <c r="E26" s="123"/>
      <c r="F26" s="129"/>
      <c r="G26" s="119"/>
      <c r="H26" s="2"/>
      <c r="I26" s="2"/>
      <c r="J26" s="106"/>
      <c r="K26" s="105"/>
      <c r="L26" s="105"/>
    </row>
    <row r="27" spans="1:95" ht="14.4" outlineLevel="1" x14ac:dyDescent="0.3">
      <c r="A27" s="124"/>
      <c r="B27" s="131"/>
      <c r="C27" s="131" t="s">
        <v>288</v>
      </c>
      <c r="D27" s="160" t="s">
        <v>289</v>
      </c>
      <c r="E27" s="122" t="s">
        <v>290</v>
      </c>
      <c r="F27" s="133" t="s">
        <v>178</v>
      </c>
      <c r="G27" s="119"/>
      <c r="H27" s="2"/>
      <c r="I27" s="2"/>
      <c r="J27" s="106"/>
      <c r="K27" s="105"/>
      <c r="L27" s="105"/>
    </row>
    <row r="28" spans="1:95" ht="14.4" outlineLevel="1" x14ac:dyDescent="0.3">
      <c r="A28" s="124"/>
      <c r="B28" s="130"/>
      <c r="C28" s="131" t="s">
        <v>185</v>
      </c>
      <c r="D28" s="160" t="s">
        <v>291</v>
      </c>
      <c r="E28" s="122" t="s">
        <v>292</v>
      </c>
      <c r="F28" s="133" t="s">
        <v>178</v>
      </c>
      <c r="G28" s="119"/>
      <c r="H28" s="2"/>
      <c r="I28" s="2"/>
      <c r="J28" s="106"/>
      <c r="K28" s="105"/>
      <c r="L28" s="105"/>
    </row>
    <row r="29" spans="1:95" s="124" customFormat="1" ht="14.4" outlineLevel="1" x14ac:dyDescent="0.3">
      <c r="B29" s="130"/>
      <c r="C29" s="131" t="s">
        <v>186</v>
      </c>
      <c r="D29" s="160" t="s">
        <v>293</v>
      </c>
      <c r="E29" s="122" t="s">
        <v>294</v>
      </c>
      <c r="F29" s="133" t="s">
        <v>178</v>
      </c>
      <c r="G29" s="119"/>
      <c r="H29" s="165"/>
      <c r="I29" s="165"/>
      <c r="J29" s="166"/>
      <c r="K29" s="167"/>
      <c r="L29" s="167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68"/>
      <c r="BJ29" s="168"/>
      <c r="BK29" s="168"/>
      <c r="BL29" s="168"/>
      <c r="BM29" s="168"/>
      <c r="BN29" s="168"/>
      <c r="BO29" s="168"/>
      <c r="BP29" s="168"/>
      <c r="BQ29" s="168"/>
      <c r="BR29" s="168"/>
      <c r="BS29" s="168"/>
      <c r="BT29" s="168"/>
      <c r="BU29" s="168"/>
      <c r="BV29" s="168"/>
      <c r="BW29" s="168"/>
      <c r="BX29" s="168"/>
      <c r="BY29" s="168"/>
      <c r="BZ29" s="168"/>
      <c r="CA29" s="168"/>
      <c r="CB29" s="168"/>
      <c r="CC29" s="168"/>
      <c r="CD29" s="168"/>
      <c r="CE29" s="168"/>
      <c r="CF29" s="168"/>
      <c r="CG29" s="168"/>
      <c r="CH29" s="168"/>
      <c r="CI29" s="168"/>
      <c r="CJ29" s="168"/>
      <c r="CK29" s="168"/>
      <c r="CL29" s="168"/>
      <c r="CM29" s="168"/>
      <c r="CN29" s="168"/>
      <c r="CO29" s="168"/>
      <c r="CP29" s="168"/>
      <c r="CQ29" s="168"/>
    </row>
    <row r="30" spans="1:95" s="124" customFormat="1" ht="14.4" outlineLevel="1" x14ac:dyDescent="0.3">
      <c r="B30" s="162"/>
      <c r="C30" s="131" t="s">
        <v>295</v>
      </c>
      <c r="D30" s="160" t="s">
        <v>296</v>
      </c>
      <c r="E30" s="122" t="s">
        <v>297</v>
      </c>
      <c r="F30" s="133" t="s">
        <v>178</v>
      </c>
      <c r="G30" s="119"/>
      <c r="H30" s="165"/>
      <c r="I30" s="165"/>
      <c r="J30" s="166"/>
      <c r="K30" s="167"/>
      <c r="L30" s="167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68"/>
      <c r="BJ30" s="168"/>
      <c r="BK30" s="168"/>
      <c r="BL30" s="168"/>
      <c r="BM30" s="168"/>
      <c r="BN30" s="168"/>
      <c r="BO30" s="168"/>
      <c r="BP30" s="168"/>
      <c r="BQ30" s="168"/>
      <c r="BR30" s="168"/>
      <c r="BS30" s="168"/>
      <c r="BT30" s="168"/>
      <c r="BU30" s="168"/>
      <c r="BV30" s="168"/>
      <c r="BW30" s="168"/>
      <c r="BX30" s="168"/>
      <c r="BY30" s="168"/>
      <c r="BZ30" s="168"/>
      <c r="CA30" s="168"/>
      <c r="CB30" s="168"/>
      <c r="CC30" s="168"/>
      <c r="CD30" s="168"/>
      <c r="CE30" s="168"/>
      <c r="CF30" s="168"/>
      <c r="CG30" s="168"/>
      <c r="CH30" s="168"/>
      <c r="CI30" s="168"/>
      <c r="CJ30" s="168"/>
      <c r="CK30" s="168"/>
      <c r="CL30" s="168"/>
      <c r="CM30" s="168"/>
      <c r="CN30" s="168"/>
      <c r="CO30" s="168"/>
      <c r="CP30" s="168"/>
      <c r="CQ30" s="168"/>
    </row>
    <row r="31" spans="1:95" s="124" customFormat="1" ht="14.4" outlineLevel="1" x14ac:dyDescent="0.3">
      <c r="B31" s="162"/>
      <c r="C31" s="159" t="s">
        <v>298</v>
      </c>
      <c r="D31" s="160" t="s">
        <v>299</v>
      </c>
      <c r="E31" s="122" t="s">
        <v>300</v>
      </c>
      <c r="F31" s="133" t="s">
        <v>178</v>
      </c>
      <c r="G31" s="119"/>
      <c r="H31" s="165"/>
      <c r="I31" s="165"/>
      <c r="J31" s="166"/>
      <c r="K31" s="167"/>
      <c r="L31" s="167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  <c r="BL31" s="168"/>
      <c r="BM31" s="168"/>
      <c r="BN31" s="168"/>
      <c r="BO31" s="168"/>
      <c r="BP31" s="168"/>
      <c r="BQ31" s="168"/>
      <c r="BR31" s="168"/>
      <c r="BS31" s="168"/>
      <c r="BT31" s="168"/>
      <c r="BU31" s="168"/>
      <c r="BV31" s="168"/>
      <c r="BW31" s="168"/>
      <c r="BX31" s="168"/>
      <c r="BY31" s="168"/>
      <c r="BZ31" s="168"/>
      <c r="CA31" s="168"/>
      <c r="CB31" s="168"/>
      <c r="CC31" s="168"/>
      <c r="CD31" s="168"/>
      <c r="CE31" s="168"/>
      <c r="CF31" s="168"/>
      <c r="CG31" s="168"/>
      <c r="CH31" s="168"/>
      <c r="CI31" s="168"/>
      <c r="CJ31" s="168"/>
      <c r="CK31" s="168"/>
      <c r="CL31" s="168"/>
      <c r="CM31" s="168"/>
      <c r="CN31" s="168"/>
      <c r="CO31" s="168"/>
      <c r="CP31" s="168"/>
      <c r="CQ31" s="168"/>
    </row>
    <row r="32" spans="1:95" s="124" customFormat="1" ht="14.4" outlineLevel="1" x14ac:dyDescent="0.3">
      <c r="B32" s="162"/>
      <c r="C32" s="131" t="s">
        <v>301</v>
      </c>
      <c r="D32" s="160" t="s">
        <v>302</v>
      </c>
      <c r="E32" s="122" t="s">
        <v>303</v>
      </c>
      <c r="F32" s="133" t="s">
        <v>178</v>
      </c>
      <c r="G32" s="119"/>
      <c r="H32" s="165"/>
      <c r="I32" s="165"/>
      <c r="J32" s="166"/>
      <c r="K32" s="167"/>
      <c r="L32" s="167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68"/>
      <c r="BJ32" s="168"/>
      <c r="BK32" s="168"/>
      <c r="BL32" s="168"/>
      <c r="BM32" s="168"/>
      <c r="BN32" s="168"/>
      <c r="BO32" s="168"/>
      <c r="BP32" s="168"/>
      <c r="BQ32" s="168"/>
      <c r="BR32" s="168"/>
      <c r="BS32" s="168"/>
      <c r="BT32" s="168"/>
      <c r="BU32" s="168"/>
      <c r="BV32" s="168"/>
      <c r="BW32" s="168"/>
      <c r="BX32" s="168"/>
      <c r="BY32" s="168"/>
      <c r="BZ32" s="168"/>
      <c r="CA32" s="168"/>
      <c r="CB32" s="168"/>
      <c r="CC32" s="168"/>
      <c r="CD32" s="168"/>
      <c r="CE32" s="168"/>
      <c r="CF32" s="168"/>
      <c r="CG32" s="168"/>
      <c r="CH32" s="168"/>
      <c r="CI32" s="168"/>
      <c r="CJ32" s="168"/>
      <c r="CK32" s="168"/>
      <c r="CL32" s="168"/>
      <c r="CM32" s="168"/>
      <c r="CN32" s="168"/>
      <c r="CO32" s="168"/>
      <c r="CP32" s="168"/>
      <c r="CQ32" s="168"/>
    </row>
    <row r="33" spans="1:95" s="124" customFormat="1" ht="14.4" outlineLevel="1" x14ac:dyDescent="0.3">
      <c r="B33" s="162"/>
      <c r="C33" s="131" t="s">
        <v>304</v>
      </c>
      <c r="D33" s="160" t="s">
        <v>305</v>
      </c>
      <c r="E33" s="122" t="s">
        <v>306</v>
      </c>
      <c r="F33" s="133" t="s">
        <v>178</v>
      </c>
      <c r="G33" s="119"/>
      <c r="H33" s="165"/>
      <c r="I33" s="165"/>
      <c r="J33" s="166"/>
      <c r="K33" s="167"/>
      <c r="L33" s="167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168"/>
      <c r="BT33" s="168"/>
      <c r="BU33" s="168"/>
      <c r="BV33" s="168"/>
      <c r="BW33" s="168"/>
      <c r="BX33" s="168"/>
      <c r="BY33" s="168"/>
      <c r="BZ33" s="168"/>
      <c r="CA33" s="168"/>
      <c r="CB33" s="168"/>
      <c r="CC33" s="168"/>
      <c r="CD33" s="168"/>
      <c r="CE33" s="168"/>
      <c r="CF33" s="168"/>
      <c r="CG33" s="168"/>
      <c r="CH33" s="168"/>
      <c r="CI33" s="168"/>
      <c r="CJ33" s="168"/>
      <c r="CK33" s="168"/>
      <c r="CL33" s="168"/>
      <c r="CM33" s="168"/>
      <c r="CN33" s="168"/>
      <c r="CO33" s="168"/>
      <c r="CP33" s="168"/>
      <c r="CQ33" s="168"/>
    </row>
    <row r="34" spans="1:95" s="124" customFormat="1" ht="14.4" outlineLevel="1" x14ac:dyDescent="0.3">
      <c r="B34" s="162"/>
      <c r="C34" s="131" t="s">
        <v>307</v>
      </c>
      <c r="D34" s="160" t="s">
        <v>308</v>
      </c>
      <c r="E34" s="122" t="s">
        <v>309</v>
      </c>
      <c r="F34" s="133" t="s">
        <v>178</v>
      </c>
      <c r="G34" s="169"/>
      <c r="H34" s="165"/>
      <c r="I34" s="165"/>
      <c r="J34" s="166"/>
      <c r="K34" s="167"/>
      <c r="L34" s="167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68"/>
      <c r="BJ34" s="168"/>
      <c r="BK34" s="168"/>
      <c r="BL34" s="168"/>
      <c r="BM34" s="168"/>
      <c r="BN34" s="168"/>
      <c r="BO34" s="168"/>
      <c r="BP34" s="168"/>
      <c r="BQ34" s="168"/>
      <c r="BR34" s="168"/>
      <c r="BS34" s="168"/>
      <c r="BT34" s="168"/>
      <c r="BU34" s="168"/>
      <c r="BV34" s="168"/>
      <c r="BW34" s="168"/>
      <c r="BX34" s="168"/>
      <c r="BY34" s="168"/>
      <c r="BZ34" s="168"/>
      <c r="CA34" s="168"/>
      <c r="CB34" s="168"/>
      <c r="CC34" s="168"/>
      <c r="CD34" s="168"/>
      <c r="CE34" s="168"/>
      <c r="CF34" s="168"/>
      <c r="CG34" s="168"/>
      <c r="CH34" s="168"/>
      <c r="CI34" s="168"/>
      <c r="CJ34" s="168"/>
      <c r="CK34" s="168"/>
      <c r="CL34" s="168"/>
      <c r="CM34" s="168"/>
      <c r="CN34" s="168"/>
      <c r="CO34" s="168"/>
      <c r="CP34" s="168"/>
      <c r="CQ34" s="168"/>
    </row>
    <row r="35" spans="1:95" s="124" customFormat="1" ht="14.4" x14ac:dyDescent="0.3">
      <c r="B35" s="159"/>
      <c r="C35" s="163" t="s">
        <v>310</v>
      </c>
      <c r="D35" s="122" t="s">
        <v>311</v>
      </c>
      <c r="E35" s="122" t="s">
        <v>312</v>
      </c>
      <c r="F35" s="133" t="s">
        <v>178</v>
      </c>
      <c r="G35" s="170"/>
      <c r="H35" s="165"/>
      <c r="I35" s="165"/>
      <c r="J35" s="166"/>
      <c r="K35" s="171"/>
      <c r="L35" s="172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68"/>
      <c r="BJ35" s="168"/>
      <c r="BK35" s="168"/>
      <c r="BL35" s="168"/>
      <c r="BM35" s="168"/>
      <c r="BN35" s="168"/>
      <c r="BO35" s="168"/>
      <c r="BP35" s="168"/>
      <c r="BQ35" s="168"/>
      <c r="BR35" s="168"/>
      <c r="BS35" s="168"/>
      <c r="BT35" s="168"/>
      <c r="BU35" s="168"/>
      <c r="BV35" s="168"/>
      <c r="BW35" s="168"/>
      <c r="BX35" s="168"/>
      <c r="BY35" s="168"/>
      <c r="BZ35" s="168"/>
      <c r="CA35" s="168"/>
      <c r="CB35" s="168"/>
      <c r="CC35" s="168"/>
      <c r="CD35" s="168"/>
      <c r="CE35" s="168"/>
      <c r="CF35" s="168"/>
      <c r="CG35" s="168"/>
      <c r="CH35" s="168"/>
      <c r="CI35" s="168"/>
      <c r="CJ35" s="168"/>
      <c r="CK35" s="168"/>
      <c r="CL35" s="168"/>
      <c r="CM35" s="168"/>
      <c r="CN35" s="168"/>
      <c r="CO35" s="168"/>
      <c r="CP35" s="168"/>
      <c r="CQ35" s="168"/>
    </row>
    <row r="36" spans="1:95" s="124" customFormat="1" ht="14.4" hidden="1" outlineLevel="1" x14ac:dyDescent="0.3">
      <c r="B36" s="164"/>
      <c r="C36" s="123" t="s">
        <v>34</v>
      </c>
      <c r="D36" s="123"/>
      <c r="E36" s="123"/>
      <c r="F36" s="123"/>
      <c r="G36" s="173">
        <v>6</v>
      </c>
      <c r="H36" s="165"/>
      <c r="I36" s="165"/>
      <c r="J36" s="116">
        <v>3</v>
      </c>
      <c r="K36" s="169" t="s">
        <v>28</v>
      </c>
      <c r="L36" s="116" t="s">
        <v>29</v>
      </c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68"/>
      <c r="BJ36" s="168"/>
      <c r="BK36" s="168"/>
      <c r="BL36" s="168"/>
      <c r="BM36" s="168"/>
      <c r="BN36" s="168"/>
      <c r="BO36" s="168"/>
      <c r="BP36" s="168"/>
      <c r="BQ36" s="168"/>
      <c r="BR36" s="168"/>
      <c r="BS36" s="168"/>
      <c r="BT36" s="168"/>
      <c r="BU36" s="168"/>
      <c r="BV36" s="168"/>
      <c r="BW36" s="168"/>
      <c r="BX36" s="168"/>
      <c r="BY36" s="168"/>
      <c r="BZ36" s="168"/>
      <c r="CA36" s="168"/>
      <c r="CB36" s="168"/>
      <c r="CC36" s="168"/>
      <c r="CD36" s="168"/>
      <c r="CE36" s="168"/>
      <c r="CF36" s="168"/>
      <c r="CG36" s="168"/>
      <c r="CH36" s="168"/>
      <c r="CI36" s="168"/>
      <c r="CJ36" s="168"/>
      <c r="CK36" s="168"/>
      <c r="CL36" s="168"/>
      <c r="CM36" s="168"/>
      <c r="CN36" s="168"/>
      <c r="CO36" s="168"/>
      <c r="CP36" s="168"/>
      <c r="CQ36" s="168"/>
    </row>
    <row r="37" spans="1:95" s="124" customFormat="1" ht="14.4" hidden="1" outlineLevel="1" x14ac:dyDescent="0.3">
      <c r="B37" s="123"/>
      <c r="C37" s="123"/>
      <c r="D37" s="123" t="s">
        <v>35</v>
      </c>
      <c r="E37" s="123" t="s">
        <v>36</v>
      </c>
      <c r="F37" s="123"/>
      <c r="G37" s="115"/>
      <c r="H37" s="165"/>
      <c r="I37" s="165"/>
      <c r="J37" s="116"/>
      <c r="K37" s="116"/>
      <c r="L37" s="116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68"/>
      <c r="BJ37" s="168"/>
      <c r="BK37" s="168"/>
      <c r="BL37" s="168"/>
      <c r="BM37" s="168"/>
      <c r="BN37" s="168"/>
      <c r="BO37" s="168"/>
      <c r="BP37" s="168"/>
      <c r="BQ37" s="168"/>
      <c r="BR37" s="168"/>
      <c r="BS37" s="168"/>
      <c r="BT37" s="168"/>
      <c r="BU37" s="168"/>
      <c r="BV37" s="168"/>
      <c r="BW37" s="168"/>
      <c r="BX37" s="168"/>
      <c r="BY37" s="168"/>
      <c r="BZ37" s="168"/>
      <c r="CA37" s="168"/>
      <c r="CB37" s="168"/>
      <c r="CC37" s="168"/>
      <c r="CD37" s="168"/>
      <c r="CE37" s="168"/>
      <c r="CF37" s="168"/>
      <c r="CG37" s="168"/>
      <c r="CH37" s="168"/>
      <c r="CI37" s="168"/>
      <c r="CJ37" s="168"/>
      <c r="CK37" s="168"/>
      <c r="CL37" s="168"/>
      <c r="CM37" s="168"/>
      <c r="CN37" s="168"/>
      <c r="CO37" s="168"/>
      <c r="CP37" s="168"/>
      <c r="CQ37" s="168"/>
    </row>
    <row r="38" spans="1:95" s="124" customFormat="1" ht="14.4" hidden="1" outlineLevel="1" x14ac:dyDescent="0.3">
      <c r="B38" s="123"/>
      <c r="C38" s="123"/>
      <c r="D38" s="123">
        <v>1234567890</v>
      </c>
      <c r="E38" s="123"/>
      <c r="F38" s="123"/>
      <c r="G38" s="115"/>
      <c r="H38" s="165"/>
      <c r="I38" s="165"/>
      <c r="J38" s="116"/>
      <c r="K38" s="116"/>
      <c r="L38" s="116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68"/>
      <c r="BJ38" s="168"/>
      <c r="BK38" s="168"/>
      <c r="BL38" s="168"/>
      <c r="BM38" s="168"/>
      <c r="BN38" s="168"/>
      <c r="BO38" s="168"/>
      <c r="BP38" s="168"/>
      <c r="BQ38" s="168"/>
      <c r="BR38" s="168"/>
      <c r="BS38" s="168"/>
      <c r="BT38" s="168"/>
      <c r="BU38" s="168"/>
      <c r="BV38" s="168"/>
      <c r="BW38" s="168"/>
      <c r="BX38" s="168"/>
      <c r="BY38" s="168"/>
      <c r="BZ38" s="168"/>
      <c r="CA38" s="168"/>
      <c r="CB38" s="168"/>
      <c r="CC38" s="168"/>
      <c r="CD38" s="168"/>
      <c r="CE38" s="168"/>
      <c r="CF38" s="168"/>
      <c r="CG38" s="168"/>
      <c r="CH38" s="168"/>
      <c r="CI38" s="168"/>
      <c r="CJ38" s="168"/>
      <c r="CK38" s="168"/>
      <c r="CL38" s="168"/>
      <c r="CM38" s="168"/>
      <c r="CN38" s="168"/>
      <c r="CO38" s="168"/>
      <c r="CP38" s="168"/>
      <c r="CQ38" s="168"/>
    </row>
    <row r="39" spans="1:95" s="124" customFormat="1" ht="14.4" hidden="1" outlineLevel="1" x14ac:dyDescent="0.3">
      <c r="B39" s="123"/>
      <c r="C39" s="123"/>
      <c r="D39" s="123" t="s">
        <v>37</v>
      </c>
      <c r="E39" s="123"/>
      <c r="F39" s="123"/>
      <c r="G39" s="115"/>
      <c r="H39" s="165"/>
      <c r="I39" s="165"/>
      <c r="J39" s="116"/>
      <c r="K39" s="116"/>
      <c r="L39" s="116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  <c r="AB39" s="168"/>
      <c r="AC39" s="168"/>
      <c r="AD39" s="168"/>
      <c r="AE39" s="168"/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68"/>
      <c r="BJ39" s="168"/>
      <c r="BK39" s="168"/>
      <c r="BL39" s="168"/>
      <c r="BM39" s="168"/>
      <c r="BN39" s="168"/>
      <c r="BO39" s="168"/>
      <c r="BP39" s="168"/>
      <c r="BQ39" s="168"/>
      <c r="BR39" s="168"/>
      <c r="BS39" s="168"/>
      <c r="BT39" s="168"/>
      <c r="BU39" s="168"/>
      <c r="BV39" s="168"/>
      <c r="BW39" s="168"/>
      <c r="BX39" s="168"/>
      <c r="BY39" s="168"/>
      <c r="BZ39" s="168"/>
      <c r="CA39" s="168"/>
      <c r="CB39" s="168"/>
      <c r="CC39" s="168"/>
      <c r="CD39" s="168"/>
      <c r="CE39" s="168"/>
      <c r="CF39" s="168"/>
      <c r="CG39" s="168"/>
      <c r="CH39" s="168"/>
      <c r="CI39" s="168"/>
      <c r="CJ39" s="168"/>
      <c r="CK39" s="168"/>
      <c r="CL39" s="168"/>
      <c r="CM39" s="168"/>
      <c r="CN39" s="168"/>
      <c r="CO39" s="168"/>
      <c r="CP39" s="168"/>
      <c r="CQ39" s="168"/>
    </row>
    <row r="40" spans="1:95" s="124" customFormat="1" ht="14.4" hidden="1" outlineLevel="1" x14ac:dyDescent="0.3">
      <c r="B40" s="123"/>
      <c r="C40" s="123"/>
      <c r="D40" s="123" t="s">
        <v>38</v>
      </c>
      <c r="E40" s="123"/>
      <c r="F40" s="123"/>
      <c r="G40" s="115"/>
      <c r="H40" s="165"/>
      <c r="I40" s="165"/>
      <c r="J40" s="116"/>
      <c r="K40" s="116"/>
      <c r="L40" s="116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68"/>
      <c r="BJ40" s="168"/>
      <c r="BK40" s="168"/>
      <c r="BL40" s="168"/>
      <c r="BM40" s="168"/>
      <c r="BN40" s="168"/>
      <c r="BO40" s="168"/>
      <c r="BP40" s="168"/>
      <c r="BQ40" s="168"/>
      <c r="BR40" s="168"/>
      <c r="BS40" s="168"/>
      <c r="BT40" s="168"/>
      <c r="BU40" s="168"/>
      <c r="BV40" s="168"/>
      <c r="BW40" s="168"/>
      <c r="BX40" s="168"/>
      <c r="BY40" s="168"/>
      <c r="BZ40" s="168"/>
      <c r="CA40" s="168"/>
      <c r="CB40" s="168"/>
      <c r="CC40" s="168"/>
      <c r="CD40" s="168"/>
      <c r="CE40" s="168"/>
      <c r="CF40" s="168"/>
      <c r="CG40" s="168"/>
      <c r="CH40" s="168"/>
      <c r="CI40" s="168"/>
      <c r="CJ40" s="168"/>
      <c r="CK40" s="168"/>
      <c r="CL40" s="168"/>
      <c r="CM40" s="168"/>
      <c r="CN40" s="168"/>
      <c r="CO40" s="168"/>
      <c r="CP40" s="168"/>
      <c r="CQ40" s="168"/>
    </row>
    <row r="41" spans="1:95" s="124" customFormat="1" ht="14.4" hidden="1" outlineLevel="1" x14ac:dyDescent="0.3">
      <c r="B41" s="123"/>
      <c r="C41" s="123"/>
      <c r="D41" s="123" t="s">
        <v>39</v>
      </c>
      <c r="E41" s="123"/>
      <c r="F41" s="123"/>
      <c r="G41" s="115"/>
      <c r="H41" s="165"/>
      <c r="I41" s="165"/>
      <c r="J41" s="116"/>
      <c r="K41" s="116"/>
      <c r="L41" s="116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68"/>
      <c r="AD41" s="168"/>
      <c r="AE41" s="168"/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68"/>
      <c r="BJ41" s="168"/>
      <c r="BK41" s="168"/>
      <c r="BL41" s="168"/>
      <c r="BM41" s="168"/>
      <c r="BN41" s="168"/>
      <c r="BO41" s="168"/>
      <c r="BP41" s="168"/>
      <c r="BQ41" s="168"/>
      <c r="BR41" s="168"/>
      <c r="BS41" s="168"/>
      <c r="BT41" s="168"/>
      <c r="BU41" s="168"/>
      <c r="BV41" s="168"/>
      <c r="BW41" s="168"/>
      <c r="BX41" s="168"/>
      <c r="BY41" s="168"/>
      <c r="BZ41" s="168"/>
      <c r="CA41" s="168"/>
      <c r="CB41" s="168"/>
      <c r="CC41" s="168"/>
      <c r="CD41" s="168"/>
      <c r="CE41" s="168"/>
      <c r="CF41" s="168"/>
      <c r="CG41" s="168"/>
      <c r="CH41" s="168"/>
      <c r="CI41" s="168"/>
      <c r="CJ41" s="168"/>
      <c r="CK41" s="168"/>
      <c r="CL41" s="168"/>
      <c r="CM41" s="168"/>
      <c r="CN41" s="168"/>
      <c r="CO41" s="168"/>
      <c r="CP41" s="168"/>
      <c r="CQ41" s="168"/>
    </row>
    <row r="42" spans="1:95" s="124" customFormat="1" ht="14.4" hidden="1" outlineLevel="1" x14ac:dyDescent="0.3">
      <c r="B42" s="123"/>
      <c r="C42" s="123"/>
      <c r="D42" s="123" t="s">
        <v>40</v>
      </c>
      <c r="E42" s="123"/>
      <c r="F42" s="123"/>
      <c r="G42" s="115"/>
      <c r="H42" s="165"/>
      <c r="I42" s="165"/>
      <c r="J42" s="116"/>
      <c r="K42" s="116"/>
      <c r="L42" s="116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  <c r="AB42" s="168"/>
      <c r="AC42" s="168"/>
      <c r="AD42" s="168"/>
      <c r="AE42" s="168"/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68"/>
      <c r="BJ42" s="168"/>
      <c r="BK42" s="168"/>
      <c r="BL42" s="168"/>
      <c r="BM42" s="168"/>
      <c r="BN42" s="168"/>
      <c r="BO42" s="168"/>
      <c r="BP42" s="168"/>
      <c r="BQ42" s="168"/>
      <c r="BR42" s="168"/>
      <c r="BS42" s="168"/>
      <c r="BT42" s="168"/>
      <c r="BU42" s="168"/>
      <c r="BV42" s="168"/>
      <c r="BW42" s="168"/>
      <c r="BX42" s="168"/>
      <c r="BY42" s="168"/>
      <c r="BZ42" s="168"/>
      <c r="CA42" s="168"/>
      <c r="CB42" s="168"/>
      <c r="CC42" s="168"/>
      <c r="CD42" s="168"/>
      <c r="CE42" s="168"/>
      <c r="CF42" s="168"/>
      <c r="CG42" s="168"/>
      <c r="CH42" s="168"/>
      <c r="CI42" s="168"/>
      <c r="CJ42" s="168"/>
      <c r="CK42" s="168"/>
      <c r="CL42" s="168"/>
      <c r="CM42" s="168"/>
      <c r="CN42" s="168"/>
      <c r="CO42" s="168"/>
      <c r="CP42" s="168"/>
      <c r="CQ42" s="168"/>
    </row>
    <row r="43" spans="1:95" s="124" customFormat="1" ht="14.4" hidden="1" outlineLevel="1" x14ac:dyDescent="0.3">
      <c r="B43" s="123"/>
      <c r="C43" s="123"/>
      <c r="D43" s="123" t="s">
        <v>41</v>
      </c>
      <c r="E43" s="123"/>
      <c r="F43" s="123"/>
      <c r="G43" s="115"/>
      <c r="H43" s="165"/>
      <c r="I43" s="165"/>
      <c r="J43" s="116"/>
      <c r="K43" s="116"/>
      <c r="L43" s="116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68"/>
      <c r="BJ43" s="168"/>
      <c r="BK43" s="168"/>
      <c r="BL43" s="168"/>
      <c r="BM43" s="168"/>
      <c r="BN43" s="168"/>
      <c r="BO43" s="168"/>
      <c r="BP43" s="168"/>
      <c r="BQ43" s="168"/>
      <c r="BR43" s="168"/>
      <c r="BS43" s="168"/>
      <c r="BT43" s="168"/>
      <c r="BU43" s="168"/>
      <c r="BV43" s="168"/>
      <c r="BW43" s="168"/>
      <c r="BX43" s="168"/>
      <c r="BY43" s="168"/>
      <c r="BZ43" s="168"/>
      <c r="CA43" s="168"/>
      <c r="CB43" s="168"/>
      <c r="CC43" s="168"/>
      <c r="CD43" s="168"/>
      <c r="CE43" s="168"/>
      <c r="CF43" s="168"/>
      <c r="CG43" s="168"/>
      <c r="CH43" s="168"/>
      <c r="CI43" s="168"/>
      <c r="CJ43" s="168"/>
      <c r="CK43" s="168"/>
      <c r="CL43" s="168"/>
      <c r="CM43" s="168"/>
      <c r="CN43" s="168"/>
      <c r="CO43" s="168"/>
      <c r="CP43" s="168"/>
      <c r="CQ43" s="168"/>
    </row>
    <row r="44" spans="1:95" s="124" customFormat="1" ht="15.75" hidden="1" customHeight="1" outlineLevel="1" x14ac:dyDescent="0.3">
      <c r="B44" s="123"/>
      <c r="C44" s="123"/>
      <c r="D44" s="123" t="s">
        <v>42</v>
      </c>
      <c r="E44" s="123"/>
      <c r="F44" s="123"/>
      <c r="G44" s="115"/>
      <c r="H44" s="165"/>
      <c r="I44" s="165"/>
      <c r="J44" s="116">
        <v>4</v>
      </c>
      <c r="K44" s="116" t="s">
        <v>30</v>
      </c>
      <c r="L44" s="116" t="s">
        <v>31</v>
      </c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  <c r="AB44" s="168"/>
      <c r="AC44" s="168"/>
      <c r="AD44" s="168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68"/>
      <c r="BJ44" s="168"/>
      <c r="BK44" s="168"/>
      <c r="BL44" s="168"/>
      <c r="BM44" s="168"/>
      <c r="BN44" s="168"/>
      <c r="BO44" s="168"/>
      <c r="BP44" s="168"/>
      <c r="BQ44" s="168"/>
      <c r="BR44" s="168"/>
      <c r="BS44" s="168"/>
      <c r="BT44" s="168"/>
      <c r="BU44" s="168"/>
      <c r="BV44" s="168"/>
      <c r="BW44" s="168"/>
      <c r="BX44" s="168"/>
      <c r="BY44" s="168"/>
      <c r="BZ44" s="168"/>
      <c r="CA44" s="168"/>
      <c r="CB44" s="168"/>
      <c r="CC44" s="168"/>
      <c r="CD44" s="168"/>
      <c r="CE44" s="168"/>
      <c r="CF44" s="168"/>
      <c r="CG44" s="168"/>
      <c r="CH44" s="168"/>
      <c r="CI44" s="168"/>
      <c r="CJ44" s="168"/>
      <c r="CK44" s="168"/>
      <c r="CL44" s="168"/>
      <c r="CM44" s="168"/>
      <c r="CN44" s="168"/>
      <c r="CO44" s="168"/>
      <c r="CP44" s="168"/>
      <c r="CQ44" s="168"/>
    </row>
    <row r="45" spans="1:95" s="124" customFormat="1" ht="15.75" customHeight="1" outlineLevel="1" x14ac:dyDescent="0.3">
      <c r="B45" s="123"/>
      <c r="C45" s="123" t="s">
        <v>313</v>
      </c>
      <c r="D45" s="123" t="s">
        <v>314</v>
      </c>
      <c r="E45" s="123" t="s">
        <v>315</v>
      </c>
      <c r="F45" s="133" t="s">
        <v>178</v>
      </c>
      <c r="G45" s="116"/>
      <c r="H45" s="165"/>
      <c r="I45" s="165"/>
      <c r="J45" s="116"/>
      <c r="K45" s="116"/>
      <c r="L45" s="116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  <c r="AB45" s="168"/>
      <c r="AC45" s="168"/>
      <c r="AD45" s="168"/>
      <c r="AE45" s="168"/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68"/>
      <c r="BJ45" s="168"/>
      <c r="BK45" s="168"/>
      <c r="BL45" s="168"/>
      <c r="BM45" s="168"/>
      <c r="BN45" s="168"/>
      <c r="BO45" s="168"/>
      <c r="BP45" s="168"/>
      <c r="BQ45" s="168"/>
      <c r="BR45" s="168"/>
      <c r="BS45" s="168"/>
      <c r="BT45" s="168"/>
      <c r="BU45" s="168"/>
      <c r="BV45" s="168"/>
      <c r="BW45" s="168"/>
      <c r="BX45" s="168"/>
      <c r="BY45" s="168"/>
      <c r="BZ45" s="168"/>
      <c r="CA45" s="168"/>
      <c r="CB45" s="168"/>
      <c r="CC45" s="168"/>
      <c r="CD45" s="168"/>
      <c r="CE45" s="168"/>
      <c r="CF45" s="168"/>
      <c r="CG45" s="168"/>
      <c r="CH45" s="168"/>
      <c r="CI45" s="168"/>
      <c r="CJ45" s="168"/>
      <c r="CK45" s="168"/>
      <c r="CL45" s="168"/>
      <c r="CM45" s="168"/>
      <c r="CN45" s="168"/>
      <c r="CO45" s="168"/>
      <c r="CP45" s="168"/>
      <c r="CQ45" s="168"/>
    </row>
    <row r="46" spans="1:95" s="124" customFormat="1" ht="15.75" customHeight="1" outlineLevel="1" x14ac:dyDescent="0.3">
      <c r="B46" s="123"/>
      <c r="C46" s="122" t="s">
        <v>316</v>
      </c>
      <c r="D46" s="122" t="s">
        <v>317</v>
      </c>
      <c r="E46" s="122" t="s">
        <v>318</v>
      </c>
      <c r="F46" s="133" t="s">
        <v>178</v>
      </c>
      <c r="G46" s="116"/>
      <c r="H46" s="165"/>
      <c r="I46" s="165"/>
      <c r="J46" s="116"/>
      <c r="K46" s="116"/>
      <c r="L46" s="116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  <c r="AB46" s="168"/>
      <c r="AC46" s="168"/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68"/>
      <c r="BJ46" s="168"/>
      <c r="BK46" s="168"/>
      <c r="BL46" s="168"/>
      <c r="BM46" s="168"/>
      <c r="BN46" s="168"/>
      <c r="BO46" s="168"/>
      <c r="BP46" s="168"/>
      <c r="BQ46" s="168"/>
      <c r="BR46" s="168"/>
      <c r="BS46" s="168"/>
      <c r="BT46" s="168"/>
      <c r="BU46" s="168"/>
      <c r="BV46" s="168"/>
      <c r="BW46" s="168"/>
      <c r="BX46" s="168"/>
      <c r="BY46" s="168"/>
      <c r="BZ46" s="168"/>
      <c r="CA46" s="168"/>
      <c r="CB46" s="168"/>
      <c r="CC46" s="168"/>
      <c r="CD46" s="168"/>
      <c r="CE46" s="168"/>
      <c r="CF46" s="168"/>
      <c r="CG46" s="168"/>
      <c r="CH46" s="168"/>
      <c r="CI46" s="168"/>
      <c r="CJ46" s="168"/>
      <c r="CK46" s="168"/>
      <c r="CL46" s="168"/>
      <c r="CM46" s="168"/>
      <c r="CN46" s="168"/>
      <c r="CO46" s="168"/>
      <c r="CP46" s="168"/>
      <c r="CQ46" s="168"/>
    </row>
    <row r="47" spans="1:95" ht="15.75" customHeight="1" outlineLevel="1" x14ac:dyDescent="0.3">
      <c r="B47" s="8"/>
      <c r="C47" s="8"/>
      <c r="D47" s="8"/>
      <c r="E47" s="8"/>
      <c r="F47" s="8"/>
      <c r="G47" s="116"/>
      <c r="H47" s="2"/>
      <c r="I47" s="2"/>
      <c r="J47" s="8"/>
      <c r="K47" s="8"/>
      <c r="L47" s="8"/>
    </row>
    <row r="48" spans="1:95" ht="15.75" customHeight="1" x14ac:dyDescent="0.3">
      <c r="A48" s="134" t="s">
        <v>161</v>
      </c>
      <c r="B48" s="135" t="s">
        <v>188</v>
      </c>
      <c r="C48" s="136"/>
      <c r="D48" s="136"/>
      <c r="E48" s="136"/>
      <c r="F48" s="136"/>
      <c r="G48" s="115"/>
      <c r="H48" s="2"/>
      <c r="I48" s="2"/>
      <c r="J48" s="8"/>
      <c r="K48" s="8"/>
      <c r="L48" s="8"/>
    </row>
    <row r="49" spans="1:12" ht="15.75" hidden="1" customHeight="1" outlineLevel="1" x14ac:dyDescent="0.3">
      <c r="A49" s="137"/>
      <c r="B49" s="136"/>
      <c r="C49" s="136"/>
      <c r="D49" s="136">
        <v>1</v>
      </c>
      <c r="E49" s="136"/>
      <c r="F49" s="136"/>
      <c r="G49" s="115"/>
      <c r="H49" s="2"/>
      <c r="I49" s="2"/>
      <c r="J49" s="8">
        <v>5</v>
      </c>
      <c r="K49" s="8" t="s">
        <v>33</v>
      </c>
      <c r="L49" s="8" t="s">
        <v>29</v>
      </c>
    </row>
    <row r="50" spans="1:12" ht="15.75" hidden="1" customHeight="1" outlineLevel="1" x14ac:dyDescent="0.3">
      <c r="A50" s="137"/>
      <c r="B50" s="136"/>
      <c r="C50" s="136"/>
      <c r="D50" s="136">
        <v>12</v>
      </c>
      <c r="E50" s="136"/>
      <c r="F50" s="136"/>
      <c r="G50" s="115"/>
      <c r="H50" s="2"/>
      <c r="I50" s="2"/>
      <c r="J50" s="8"/>
      <c r="K50" s="8"/>
      <c r="L50" s="8"/>
    </row>
    <row r="51" spans="1:12" ht="15.75" hidden="1" customHeight="1" outlineLevel="1" x14ac:dyDescent="0.3">
      <c r="A51" s="137"/>
      <c r="B51" s="136"/>
      <c r="C51" s="136"/>
      <c r="D51" s="136">
        <v>123</v>
      </c>
      <c r="E51" s="136"/>
      <c r="F51" s="136"/>
      <c r="G51" s="115"/>
      <c r="H51" s="2"/>
      <c r="I51" s="2"/>
      <c r="J51" s="8"/>
      <c r="K51" s="8"/>
      <c r="L51" s="8"/>
    </row>
    <row r="52" spans="1:12" ht="15.75" customHeight="1" outlineLevel="1" x14ac:dyDescent="0.3">
      <c r="A52" s="137"/>
      <c r="B52" s="136"/>
      <c r="C52" s="138" t="s">
        <v>189</v>
      </c>
      <c r="D52" s="135" t="s">
        <v>192</v>
      </c>
      <c r="E52" s="136" t="s">
        <v>190</v>
      </c>
      <c r="F52" s="135" t="s">
        <v>178</v>
      </c>
      <c r="G52" s="115"/>
      <c r="H52" s="2"/>
      <c r="I52" s="2"/>
      <c r="J52" s="8"/>
      <c r="K52" s="8"/>
      <c r="L52" s="8"/>
    </row>
    <row r="53" spans="1:12" ht="15.75" customHeight="1" outlineLevel="1" x14ac:dyDescent="0.3">
      <c r="A53" s="137"/>
      <c r="B53" s="136"/>
      <c r="C53" s="139" t="s">
        <v>191</v>
      </c>
      <c r="D53" s="135" t="s">
        <v>192</v>
      </c>
      <c r="E53" s="136" t="s">
        <v>193</v>
      </c>
      <c r="F53" s="135" t="s">
        <v>178</v>
      </c>
      <c r="G53" s="115"/>
      <c r="H53" s="2"/>
      <c r="I53" s="2"/>
      <c r="J53" s="8"/>
      <c r="K53" s="8"/>
      <c r="L53" s="8"/>
    </row>
    <row r="54" spans="1:12" ht="15.75" customHeight="1" outlineLevel="1" x14ac:dyDescent="0.3">
      <c r="A54" s="137"/>
      <c r="B54" s="140" t="s">
        <v>194</v>
      </c>
      <c r="C54" s="141"/>
      <c r="D54" s="142"/>
      <c r="E54" s="136"/>
      <c r="F54" s="136"/>
      <c r="G54" s="115"/>
      <c r="H54" s="2"/>
      <c r="I54" s="2"/>
      <c r="J54" s="8"/>
      <c r="K54" s="8"/>
      <c r="L54" s="8"/>
    </row>
    <row r="55" spans="1:12" ht="15.75" customHeight="1" outlineLevel="1" x14ac:dyDescent="0.3">
      <c r="A55" s="137"/>
      <c r="B55" s="136"/>
      <c r="C55" s="134" t="s">
        <v>148</v>
      </c>
      <c r="D55" s="135" t="s">
        <v>196</v>
      </c>
      <c r="E55" s="136" t="s">
        <v>195</v>
      </c>
      <c r="F55" s="135" t="s">
        <v>178</v>
      </c>
      <c r="G55" s="115"/>
      <c r="H55" s="2"/>
      <c r="I55" s="2"/>
      <c r="J55" s="8"/>
      <c r="K55" s="8"/>
      <c r="L55" s="8"/>
    </row>
    <row r="56" spans="1:12" ht="15.75" customHeight="1" outlineLevel="1" x14ac:dyDescent="0.3">
      <c r="A56" s="137"/>
      <c r="B56" s="136"/>
      <c r="C56" s="135" t="s">
        <v>197</v>
      </c>
      <c r="D56" s="136" t="s">
        <v>198</v>
      </c>
      <c r="E56" s="136" t="s">
        <v>199</v>
      </c>
      <c r="F56" s="135" t="s">
        <v>178</v>
      </c>
      <c r="G56" s="115"/>
      <c r="H56" s="2"/>
      <c r="I56" s="2"/>
      <c r="J56" s="8"/>
      <c r="K56" s="8"/>
      <c r="L56" s="8"/>
    </row>
    <row r="57" spans="1:12" ht="15.75" customHeight="1" outlineLevel="1" x14ac:dyDescent="0.3">
      <c r="A57" s="137"/>
      <c r="B57" s="135" t="s">
        <v>200</v>
      </c>
      <c r="C57" s="135"/>
      <c r="D57" s="136"/>
      <c r="E57" s="136"/>
      <c r="F57" s="136"/>
      <c r="G57" s="115"/>
      <c r="H57" s="2"/>
      <c r="I57" s="2"/>
      <c r="J57" s="8"/>
      <c r="K57" s="8"/>
      <c r="L57" s="8"/>
    </row>
    <row r="58" spans="1:12" ht="15.75" customHeight="1" x14ac:dyDescent="0.3">
      <c r="A58" s="137"/>
      <c r="B58" s="136"/>
      <c r="C58" s="135" t="s">
        <v>201</v>
      </c>
      <c r="D58" s="135" t="s">
        <v>202</v>
      </c>
      <c r="E58" s="136" t="s">
        <v>203</v>
      </c>
      <c r="F58" s="135" t="s">
        <v>181</v>
      </c>
      <c r="G58" s="103"/>
      <c r="H58" s="2"/>
      <c r="I58" s="2"/>
      <c r="J58" s="8">
        <v>2</v>
      </c>
      <c r="K58" s="97" t="s">
        <v>149</v>
      </c>
      <c r="L58" s="105" t="s">
        <v>29</v>
      </c>
    </row>
    <row r="59" spans="1:12" ht="15.75" customHeight="1" outlineLevel="1" x14ac:dyDescent="0.3">
      <c r="A59" s="137"/>
      <c r="B59" s="135" t="s">
        <v>204</v>
      </c>
      <c r="C59" s="136"/>
      <c r="D59" s="136"/>
      <c r="E59" s="136"/>
      <c r="F59" s="136"/>
      <c r="G59" s="107"/>
      <c r="H59" s="2"/>
      <c r="I59" s="2"/>
      <c r="J59" s="8"/>
      <c r="K59" s="8"/>
      <c r="L59" s="8"/>
    </row>
    <row r="60" spans="1:12" ht="15.75" customHeight="1" outlineLevel="1" x14ac:dyDescent="0.3">
      <c r="A60" s="137"/>
      <c r="B60" s="143"/>
      <c r="C60" s="136" t="s">
        <v>205</v>
      </c>
      <c r="D60" s="136" t="s">
        <v>206</v>
      </c>
      <c r="E60" s="136" t="s">
        <v>207</v>
      </c>
      <c r="F60" s="135" t="s">
        <v>178</v>
      </c>
      <c r="G60" s="107"/>
      <c r="H60" s="2"/>
      <c r="I60" s="2"/>
      <c r="J60" s="8"/>
      <c r="K60" s="8"/>
      <c r="L60" s="8"/>
    </row>
    <row r="61" spans="1:12" ht="15.75" customHeight="1" outlineLevel="1" x14ac:dyDescent="0.3">
      <c r="A61" s="137"/>
      <c r="B61" s="138"/>
      <c r="C61" s="136" t="s">
        <v>208</v>
      </c>
      <c r="D61" s="136" t="s">
        <v>209</v>
      </c>
      <c r="E61" s="136" t="s">
        <v>210</v>
      </c>
      <c r="F61" s="135" t="s">
        <v>178</v>
      </c>
      <c r="G61" s="107"/>
      <c r="H61" s="2"/>
      <c r="I61" s="2"/>
      <c r="J61" s="8"/>
      <c r="K61" s="8"/>
      <c r="L61" s="8"/>
    </row>
    <row r="62" spans="1:12" ht="15.75" customHeight="1" outlineLevel="1" x14ac:dyDescent="0.3">
      <c r="A62" s="137"/>
      <c r="B62" s="141" t="s">
        <v>144</v>
      </c>
      <c r="C62" s="144"/>
      <c r="D62" s="145"/>
      <c r="E62" s="136"/>
      <c r="F62" s="136"/>
      <c r="G62" s="120"/>
      <c r="H62" s="2"/>
      <c r="I62" s="2"/>
      <c r="J62" s="8"/>
      <c r="K62" s="8"/>
      <c r="L62" s="8"/>
    </row>
    <row r="63" spans="1:12" ht="15.75" customHeight="1" outlineLevel="1" x14ac:dyDescent="0.3">
      <c r="A63" s="146"/>
      <c r="B63" s="147"/>
      <c r="C63" s="148" t="s">
        <v>211</v>
      </c>
      <c r="D63" s="149" t="s">
        <v>212</v>
      </c>
      <c r="E63" s="138" t="s">
        <v>210</v>
      </c>
      <c r="F63" s="143" t="s">
        <v>181</v>
      </c>
      <c r="G63" s="111"/>
      <c r="H63" s="2"/>
      <c r="I63" s="2"/>
      <c r="J63" s="8">
        <v>3</v>
      </c>
      <c r="K63" s="102" t="s">
        <v>141</v>
      </c>
      <c r="L63" s="8" t="s">
        <v>76</v>
      </c>
    </row>
    <row r="64" spans="1:12" ht="15.75" customHeight="1" x14ac:dyDescent="0.3">
      <c r="A64" s="146"/>
      <c r="B64" s="141" t="s">
        <v>213</v>
      </c>
      <c r="C64" s="150"/>
      <c r="D64" s="150"/>
      <c r="E64" s="150"/>
      <c r="F64" s="150"/>
      <c r="G64" s="108"/>
    </row>
    <row r="65" spans="1:7" ht="15.75" customHeight="1" x14ac:dyDescent="0.3">
      <c r="A65" s="146"/>
      <c r="B65" s="150"/>
      <c r="C65" s="150" t="s">
        <v>214</v>
      </c>
      <c r="D65" s="150" t="s">
        <v>215</v>
      </c>
      <c r="E65" s="150" t="s">
        <v>216</v>
      </c>
      <c r="F65" s="141" t="s">
        <v>178</v>
      </c>
      <c r="G65" s="108"/>
    </row>
    <row r="66" spans="1:7" ht="15.75" customHeight="1" x14ac:dyDescent="0.3">
      <c r="A66" s="110"/>
      <c r="B66" s="108"/>
      <c r="C66" s="108"/>
      <c r="D66" s="108"/>
      <c r="E66" s="108"/>
      <c r="F66" s="108"/>
      <c r="G66" s="108"/>
    </row>
    <row r="67" spans="1:7" ht="15.75" customHeight="1" x14ac:dyDescent="0.3">
      <c r="A67" s="151" t="s">
        <v>162</v>
      </c>
      <c r="B67" s="152" t="s">
        <v>217</v>
      </c>
      <c r="C67" s="153"/>
      <c r="D67" s="153"/>
      <c r="E67" s="153"/>
      <c r="F67" s="153"/>
      <c r="G67" s="108"/>
    </row>
    <row r="68" spans="1:7" ht="15.75" customHeight="1" x14ac:dyDescent="0.3">
      <c r="A68" s="151"/>
      <c r="B68" s="152"/>
      <c r="C68" s="153" t="s">
        <v>218</v>
      </c>
      <c r="D68" s="152" t="s">
        <v>219</v>
      </c>
      <c r="E68" s="152" t="s">
        <v>228</v>
      </c>
      <c r="F68" s="152" t="s">
        <v>178</v>
      </c>
      <c r="G68" s="108"/>
    </row>
    <row r="69" spans="1:7" ht="15.75" customHeight="1" x14ac:dyDescent="0.3">
      <c r="A69" s="151"/>
      <c r="B69" s="152"/>
      <c r="C69" s="152" t="s">
        <v>220</v>
      </c>
      <c r="D69" s="152" t="s">
        <v>221</v>
      </c>
      <c r="E69" s="152" t="s">
        <v>229</v>
      </c>
      <c r="F69" s="152" t="s">
        <v>178</v>
      </c>
      <c r="G69" s="108"/>
    </row>
    <row r="70" spans="1:7" ht="15.75" customHeight="1" x14ac:dyDescent="0.3">
      <c r="A70" s="151"/>
      <c r="B70" s="152"/>
      <c r="C70" s="152" t="s">
        <v>222</v>
      </c>
      <c r="D70" s="152" t="s">
        <v>223</v>
      </c>
      <c r="E70" s="152" t="s">
        <v>230</v>
      </c>
      <c r="F70" s="152" t="s">
        <v>178</v>
      </c>
      <c r="G70" s="108"/>
    </row>
    <row r="71" spans="1:7" ht="15.75" customHeight="1" x14ac:dyDescent="0.3">
      <c r="A71" s="151"/>
      <c r="B71" s="152"/>
      <c r="C71" s="152" t="s">
        <v>224</v>
      </c>
      <c r="D71" s="152" t="s">
        <v>225</v>
      </c>
      <c r="E71" s="152" t="s">
        <v>231</v>
      </c>
      <c r="F71" s="152" t="s">
        <v>178</v>
      </c>
      <c r="G71" s="108"/>
    </row>
    <row r="72" spans="1:7" ht="15.75" customHeight="1" x14ac:dyDescent="0.3">
      <c r="A72" s="151"/>
      <c r="B72" s="152"/>
      <c r="C72" s="152" t="s">
        <v>226</v>
      </c>
      <c r="D72" s="152" t="s">
        <v>227</v>
      </c>
      <c r="E72" s="152" t="s">
        <v>232</v>
      </c>
      <c r="F72" s="152" t="s">
        <v>178</v>
      </c>
      <c r="G72" s="108"/>
    </row>
    <row r="73" spans="1:7" ht="15.75" customHeight="1" x14ac:dyDescent="0.3">
      <c r="A73" s="151"/>
      <c r="B73" s="152" t="s">
        <v>233</v>
      </c>
      <c r="C73" s="153"/>
      <c r="D73" s="153"/>
      <c r="E73" s="153"/>
      <c r="F73" s="153"/>
      <c r="G73" s="108"/>
    </row>
    <row r="74" spans="1:7" ht="15.75" customHeight="1" x14ac:dyDescent="0.3">
      <c r="A74" s="154"/>
      <c r="B74" s="153"/>
      <c r="C74" s="153" t="s">
        <v>234</v>
      </c>
      <c r="D74" s="152" t="s">
        <v>235</v>
      </c>
      <c r="E74" s="153" t="s">
        <v>236</v>
      </c>
      <c r="F74" s="152" t="s">
        <v>178</v>
      </c>
      <c r="G74" s="108"/>
    </row>
    <row r="75" spans="1:7" ht="15.75" customHeight="1" x14ac:dyDescent="0.3">
      <c r="A75" s="154"/>
      <c r="B75" s="153"/>
      <c r="C75" s="153" t="s">
        <v>237</v>
      </c>
      <c r="D75" s="153" t="s">
        <v>238</v>
      </c>
      <c r="E75" s="153" t="s">
        <v>239</v>
      </c>
      <c r="F75" s="152" t="s">
        <v>178</v>
      </c>
      <c r="G75" s="108"/>
    </row>
    <row r="76" spans="1:7" ht="15.75" customHeight="1" x14ac:dyDescent="0.3">
      <c r="A76" s="154"/>
      <c r="B76" s="152" t="s">
        <v>240</v>
      </c>
      <c r="C76" s="153"/>
      <c r="D76" s="153"/>
      <c r="E76" s="153"/>
      <c r="F76" s="153"/>
      <c r="G76" s="108"/>
    </row>
    <row r="77" spans="1:7" ht="15.75" customHeight="1" x14ac:dyDescent="0.3">
      <c r="A77" s="154"/>
      <c r="B77" s="153"/>
      <c r="C77" s="153" t="s">
        <v>241</v>
      </c>
      <c r="D77" s="153" t="s">
        <v>242</v>
      </c>
      <c r="E77" s="153" t="s">
        <v>243</v>
      </c>
      <c r="F77" s="152" t="s">
        <v>178</v>
      </c>
      <c r="G77" s="108"/>
    </row>
    <row r="78" spans="1:7" ht="15.75" customHeight="1" x14ac:dyDescent="0.3">
      <c r="A78" s="154"/>
      <c r="B78" s="153" t="s">
        <v>244</v>
      </c>
      <c r="C78" s="153"/>
      <c r="D78" s="153"/>
      <c r="E78" s="153"/>
      <c r="F78" s="153"/>
      <c r="G78" s="108"/>
    </row>
    <row r="79" spans="1:7" ht="15.75" customHeight="1" x14ac:dyDescent="0.3">
      <c r="A79" s="154"/>
      <c r="B79" s="153"/>
      <c r="C79" s="153" t="s">
        <v>245</v>
      </c>
      <c r="D79" s="153" t="s">
        <v>246</v>
      </c>
      <c r="E79" s="153" t="s">
        <v>247</v>
      </c>
      <c r="F79" s="152" t="s">
        <v>178</v>
      </c>
      <c r="G79" s="108"/>
    </row>
    <row r="80" spans="1:7" ht="15.75" customHeight="1" x14ac:dyDescent="0.3">
      <c r="B80" s="108"/>
      <c r="C80" s="108"/>
      <c r="D80" s="108"/>
      <c r="E80" s="108"/>
      <c r="F80" s="108"/>
      <c r="G80" s="108"/>
    </row>
    <row r="81" spans="2:7" ht="15.75" customHeight="1" x14ac:dyDescent="0.3">
      <c r="B81" s="108"/>
      <c r="C81" s="108"/>
      <c r="D81" s="108"/>
      <c r="E81" s="108"/>
      <c r="F81" s="108"/>
      <c r="G81" s="108"/>
    </row>
    <row r="82" spans="2:7" ht="15.75" customHeight="1" x14ac:dyDescent="0.3">
      <c r="B82" s="108"/>
      <c r="C82" s="108"/>
      <c r="D82" s="108"/>
      <c r="E82" s="108"/>
      <c r="F82" s="108"/>
      <c r="G82" s="108"/>
    </row>
    <row r="83" spans="2:7" ht="15.75" customHeight="1" x14ac:dyDescent="0.3">
      <c r="B83" s="108"/>
      <c r="C83" s="108"/>
      <c r="D83" s="108"/>
      <c r="E83" s="108"/>
      <c r="F83" s="108"/>
      <c r="G83" s="108"/>
    </row>
    <row r="84" spans="2:7" ht="15.75" customHeight="1" x14ac:dyDescent="0.3">
      <c r="B84" s="108"/>
      <c r="C84" s="108"/>
      <c r="D84" s="108"/>
      <c r="E84" s="108"/>
      <c r="F84" s="108"/>
      <c r="G84" s="108"/>
    </row>
    <row r="85" spans="2:7" ht="15.75" customHeight="1" x14ac:dyDescent="0.3">
      <c r="B85" s="108"/>
      <c r="C85" s="108"/>
      <c r="D85" s="108"/>
      <c r="E85" s="108"/>
      <c r="F85" s="108"/>
      <c r="G85" s="108"/>
    </row>
    <row r="86" spans="2:7" ht="15.75" customHeight="1" x14ac:dyDescent="0.3">
      <c r="B86" s="108"/>
      <c r="C86" s="108"/>
      <c r="D86" s="108"/>
      <c r="E86" s="108"/>
      <c r="F86" s="108"/>
      <c r="G86" s="108"/>
    </row>
    <row r="87" spans="2:7" ht="15.75" customHeight="1" x14ac:dyDescent="0.3">
      <c r="B87" s="108"/>
      <c r="C87" s="108"/>
      <c r="D87" s="108"/>
      <c r="E87" s="108"/>
      <c r="F87" s="108"/>
      <c r="G87" s="108"/>
    </row>
    <row r="88" spans="2:7" ht="15.75" customHeight="1" x14ac:dyDescent="0.3">
      <c r="B88" s="108"/>
      <c r="C88" s="108"/>
      <c r="D88" s="108"/>
      <c r="E88" s="108"/>
      <c r="F88" s="108"/>
      <c r="G88" s="108"/>
    </row>
    <row r="89" spans="2:7" ht="15.75" customHeight="1" x14ac:dyDescent="0.3">
      <c r="B89" s="108"/>
      <c r="C89" s="108"/>
      <c r="D89" s="108"/>
      <c r="E89" s="108"/>
      <c r="F89" s="108"/>
      <c r="G89" s="108"/>
    </row>
    <row r="90" spans="2:7" ht="15.75" customHeight="1" x14ac:dyDescent="0.3">
      <c r="B90" s="108"/>
      <c r="C90" s="108"/>
      <c r="D90" s="108"/>
      <c r="E90" s="108"/>
      <c r="F90" s="108"/>
      <c r="G90" s="108"/>
    </row>
    <row r="91" spans="2:7" ht="15.75" customHeight="1" x14ac:dyDescent="0.3">
      <c r="B91" s="108"/>
      <c r="C91" s="108"/>
      <c r="D91" s="108"/>
      <c r="E91" s="108"/>
      <c r="F91" s="108"/>
      <c r="G91" s="108"/>
    </row>
    <row r="92" spans="2:7" ht="15.75" customHeight="1" x14ac:dyDescent="0.3">
      <c r="B92" s="108"/>
      <c r="C92" s="108"/>
      <c r="D92" s="108"/>
      <c r="E92" s="108"/>
      <c r="F92" s="108"/>
      <c r="G92" s="108"/>
    </row>
    <row r="93" spans="2:7" ht="15.75" customHeight="1" x14ac:dyDescent="0.3">
      <c r="B93" s="108"/>
      <c r="C93" s="108"/>
      <c r="D93" s="108"/>
      <c r="E93" s="108"/>
      <c r="F93" s="108"/>
      <c r="G93" s="108"/>
    </row>
    <row r="94" spans="2:7" ht="15.75" customHeight="1" x14ac:dyDescent="0.3">
      <c r="B94" s="108"/>
      <c r="C94" s="108"/>
      <c r="D94" s="108"/>
      <c r="E94" s="108"/>
      <c r="F94" s="108"/>
      <c r="G94" s="108"/>
    </row>
    <row r="95" spans="2:7" ht="15.75" customHeight="1" x14ac:dyDescent="0.3">
      <c r="B95" s="108"/>
      <c r="C95" s="108"/>
      <c r="D95" s="108"/>
      <c r="E95" s="108"/>
      <c r="F95" s="108"/>
      <c r="G95" s="108"/>
    </row>
    <row r="96" spans="2:7" ht="15.75" customHeight="1" x14ac:dyDescent="0.3">
      <c r="B96" s="108"/>
      <c r="C96" s="108"/>
      <c r="D96" s="108"/>
      <c r="E96" s="108"/>
      <c r="F96" s="108"/>
      <c r="G96" s="108"/>
    </row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</sheetData>
  <autoFilter ref="B1:G63" xr:uid="{00000000-0009-0000-0000-000001000000}"/>
  <mergeCells count="1">
    <mergeCell ref="J1:L1"/>
  </mergeCells>
  <hyperlinks>
    <hyperlink ref="D14" r:id="rId1" xr:uid="{42F07479-E184-4BDB-B36D-1B1BFBD75A1A}"/>
  </hyperlinks>
  <pageMargins left="0.7" right="0.7" top="0.75" bottom="0.75" header="0" footer="0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1"/>
  <sheetViews>
    <sheetView workbookViewId="0">
      <selection activeCell="C18" sqref="C18"/>
    </sheetView>
  </sheetViews>
  <sheetFormatPr defaultColWidth="14.44140625" defaultRowHeight="15" customHeight="1" x14ac:dyDescent="0.3"/>
  <cols>
    <col min="1" max="1" width="8.6640625" customWidth="1"/>
    <col min="2" max="2" width="32.44140625" customWidth="1"/>
    <col min="3" max="3" width="35.5546875" customWidth="1"/>
    <col min="4" max="6" width="8.6640625" customWidth="1"/>
    <col min="7" max="7" width="28" customWidth="1"/>
    <col min="8" max="8" width="12.44140625" customWidth="1"/>
    <col min="9" max="26" width="8.6640625" customWidth="1"/>
  </cols>
  <sheetData>
    <row r="1" spans="1:8" ht="14.4" x14ac:dyDescent="0.3">
      <c r="A1" s="28"/>
      <c r="B1" s="29" t="s">
        <v>43</v>
      </c>
      <c r="C1" s="30" t="s">
        <v>121</v>
      </c>
      <c r="D1" s="31"/>
      <c r="E1" s="32"/>
      <c r="F1" s="29" t="s">
        <v>44</v>
      </c>
      <c r="G1" s="33" t="str">
        <f ca="1">RIGHT(CELL("имяфайла",K1),LEN(CELL("имяфайла",K1))-SEARCH("]",CELL("имяфайла",K1)))</f>
        <v>Тест-кейс 1</v>
      </c>
      <c r="H1" s="34"/>
    </row>
    <row r="2" spans="1:8" ht="14.4" x14ac:dyDescent="0.3">
      <c r="A2" s="179"/>
      <c r="B2" s="181" t="s">
        <v>45</v>
      </c>
      <c r="C2" s="183" t="s">
        <v>123</v>
      </c>
      <c r="D2" s="35"/>
      <c r="E2" s="36"/>
      <c r="F2" s="37" t="s">
        <v>46</v>
      </c>
      <c r="G2" s="38" t="s">
        <v>117</v>
      </c>
      <c r="H2" s="39"/>
    </row>
    <row r="3" spans="1:8" ht="14.4" x14ac:dyDescent="0.3">
      <c r="A3" s="180"/>
      <c r="B3" s="182"/>
      <c r="C3" s="184"/>
      <c r="D3" s="35"/>
      <c r="E3" s="36"/>
      <c r="F3" s="37" t="s">
        <v>47</v>
      </c>
      <c r="G3" s="40"/>
      <c r="H3" s="39"/>
    </row>
    <row r="4" spans="1:8" ht="14.4" x14ac:dyDescent="0.3">
      <c r="A4" s="41"/>
      <c r="B4" s="29" t="s">
        <v>48</v>
      </c>
      <c r="C4" s="42" t="s">
        <v>122</v>
      </c>
      <c r="D4" s="31"/>
      <c r="E4" s="32"/>
      <c r="F4" s="29" t="s">
        <v>49</v>
      </c>
      <c r="G4" s="43"/>
      <c r="H4" s="34"/>
    </row>
    <row r="5" spans="1:8" ht="14.4" x14ac:dyDescent="0.3">
      <c r="A5" s="44"/>
      <c r="B5" s="45"/>
      <c r="C5" s="45"/>
      <c r="D5" s="46"/>
      <c r="E5" s="46"/>
      <c r="F5" s="46"/>
      <c r="G5" s="45"/>
      <c r="H5" s="45"/>
    </row>
    <row r="6" spans="1:8" ht="14.4" x14ac:dyDescent="0.3">
      <c r="A6" s="41"/>
      <c r="B6" s="29" t="s">
        <v>50</v>
      </c>
      <c r="C6" s="47" t="s">
        <v>125</v>
      </c>
      <c r="D6" s="48"/>
      <c r="E6" s="49"/>
      <c r="F6" s="49"/>
      <c r="G6" s="49"/>
      <c r="H6" s="47"/>
    </row>
    <row r="7" spans="1:8" ht="14.4" x14ac:dyDescent="0.3">
      <c r="A7" s="44"/>
      <c r="B7" s="50"/>
      <c r="C7" s="50"/>
      <c r="D7" s="51"/>
      <c r="E7" s="2"/>
      <c r="F7" s="2"/>
      <c r="G7" s="2"/>
      <c r="H7" s="45"/>
    </row>
    <row r="8" spans="1:8" ht="14.4" x14ac:dyDescent="0.3">
      <c r="A8" s="44"/>
      <c r="B8" s="45"/>
      <c r="C8" s="45"/>
      <c r="D8" s="46"/>
      <c r="E8" s="2"/>
      <c r="F8" s="2"/>
      <c r="G8" s="2"/>
      <c r="H8" s="45"/>
    </row>
    <row r="9" spans="1:8" ht="14.4" x14ac:dyDescent="0.3">
      <c r="A9" s="44"/>
      <c r="B9" s="45"/>
      <c r="C9" s="45"/>
      <c r="D9" s="46"/>
      <c r="E9" s="46"/>
      <c r="F9" s="46"/>
      <c r="G9" s="45"/>
      <c r="H9" s="45"/>
    </row>
    <row r="10" spans="1:8" ht="14.4" x14ac:dyDescent="0.3">
      <c r="A10" s="52">
        <f>COUNTA(A12:A28)</f>
        <v>4</v>
      </c>
      <c r="B10" s="53" t="s">
        <v>51</v>
      </c>
      <c r="C10" s="54" t="s">
        <v>52</v>
      </c>
      <c r="D10" s="55">
        <f t="shared" ref="D10:F10" si="0">COUNTIF(D12:D28,"x")</f>
        <v>1</v>
      </c>
      <c r="E10" s="55">
        <f t="shared" si="0"/>
        <v>0</v>
      </c>
      <c r="F10" s="55">
        <f t="shared" si="0"/>
        <v>0</v>
      </c>
      <c r="G10" s="56" t="s">
        <v>53</v>
      </c>
      <c r="H10" s="57">
        <f>(D10+E10+F10)/A10</f>
        <v>0.25</v>
      </c>
    </row>
    <row r="11" spans="1:8" ht="25.8" x14ac:dyDescent="0.3">
      <c r="A11" s="58" t="s">
        <v>54</v>
      </c>
      <c r="B11" s="59" t="s">
        <v>55</v>
      </c>
      <c r="C11" s="59" t="s">
        <v>56</v>
      </c>
      <c r="D11" s="60" t="s">
        <v>57</v>
      </c>
      <c r="E11" s="60" t="s">
        <v>58</v>
      </c>
      <c r="F11" s="60" t="s">
        <v>59</v>
      </c>
      <c r="G11" s="61" t="s">
        <v>60</v>
      </c>
      <c r="H11" s="62" t="s">
        <v>61</v>
      </c>
    </row>
    <row r="12" spans="1:8" ht="26.4" x14ac:dyDescent="0.3">
      <c r="A12" s="63">
        <v>1</v>
      </c>
      <c r="B12" s="64" t="s">
        <v>153</v>
      </c>
      <c r="C12" s="64" t="s">
        <v>130</v>
      </c>
      <c r="D12" s="65" t="s">
        <v>62</v>
      </c>
      <c r="E12" s="65"/>
      <c r="F12" s="65"/>
      <c r="G12" s="64" t="s">
        <v>130</v>
      </c>
      <c r="H12" s="66"/>
    </row>
    <row r="13" spans="1:8" ht="26.4" x14ac:dyDescent="0.3">
      <c r="A13" s="63">
        <v>2</v>
      </c>
      <c r="B13" s="64" t="s">
        <v>155</v>
      </c>
      <c r="C13" s="64" t="s">
        <v>130</v>
      </c>
      <c r="D13" s="71" t="s">
        <v>115</v>
      </c>
      <c r="E13" s="71"/>
      <c r="F13" s="71"/>
      <c r="G13" s="64" t="s">
        <v>130</v>
      </c>
      <c r="H13" s="66"/>
    </row>
    <row r="14" spans="1:8" ht="26.4" x14ac:dyDescent="0.3">
      <c r="A14" s="67">
        <v>3</v>
      </c>
      <c r="B14" s="68" t="s">
        <v>152</v>
      </c>
      <c r="C14" s="64" t="s">
        <v>130</v>
      </c>
      <c r="D14" s="65" t="s">
        <v>115</v>
      </c>
      <c r="E14" s="69"/>
      <c r="F14" s="69"/>
      <c r="G14" s="64" t="s">
        <v>130</v>
      </c>
      <c r="H14" s="70"/>
    </row>
    <row r="15" spans="1:8" ht="14.4" x14ac:dyDescent="0.3">
      <c r="A15" s="67">
        <f t="shared" ref="A15" si="1">A14 + 1</f>
        <v>4</v>
      </c>
      <c r="B15" s="68" t="s">
        <v>129</v>
      </c>
      <c r="C15" s="68" t="s">
        <v>128</v>
      </c>
      <c r="D15" s="71"/>
      <c r="E15" s="69" t="s">
        <v>115</v>
      </c>
      <c r="F15" s="69"/>
      <c r="G15" s="68" t="s">
        <v>127</v>
      </c>
      <c r="H15" s="70"/>
    </row>
    <row r="17" spans="2:3" ht="14.4" x14ac:dyDescent="0.3">
      <c r="B17" s="50" t="s">
        <v>63</v>
      </c>
      <c r="C17" s="104" t="s">
        <v>154</v>
      </c>
    </row>
    <row r="18" spans="2:3" ht="14.4" x14ac:dyDescent="0.3">
      <c r="C18" s="109" t="s">
        <v>156</v>
      </c>
    </row>
    <row r="19" spans="2:3" ht="14.4" x14ac:dyDescent="0.3">
      <c r="C19" s="108" t="s">
        <v>126</v>
      </c>
    </row>
    <row r="20" spans="2:3" ht="14.4" x14ac:dyDescent="0.3"/>
    <row r="21" spans="2:3" ht="14.4" x14ac:dyDescent="0.3"/>
    <row r="22" spans="2:3" ht="15.75" customHeight="1" x14ac:dyDescent="0.3"/>
    <row r="23" spans="2:3" ht="15.75" customHeight="1" x14ac:dyDescent="0.3"/>
    <row r="24" spans="2:3" ht="15.75" customHeight="1" x14ac:dyDescent="0.3"/>
    <row r="25" spans="2:3" ht="15.75" customHeight="1" x14ac:dyDescent="0.3"/>
    <row r="26" spans="2:3" ht="15.75" customHeight="1" x14ac:dyDescent="0.3"/>
    <row r="27" spans="2:3" ht="15.75" customHeight="1" x14ac:dyDescent="0.3"/>
    <row r="28" spans="2:3" ht="15.75" customHeight="1" x14ac:dyDescent="0.3"/>
    <row r="29" spans="2:3" ht="15.75" customHeight="1" x14ac:dyDescent="0.3"/>
    <row r="30" spans="2:3" ht="15.75" customHeight="1" x14ac:dyDescent="0.3"/>
    <row r="31" spans="2:3" ht="15.75" customHeight="1" x14ac:dyDescent="0.3"/>
    <row r="32" spans="2:3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3">
    <mergeCell ref="A2:A3"/>
    <mergeCell ref="B2:B3"/>
    <mergeCell ref="C2:C3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B5DD-3CBE-4FAC-8B9B-78574C1E7BEA}">
  <dimension ref="A1:D1000"/>
  <sheetViews>
    <sheetView topLeftCell="A4" workbookViewId="0">
      <selection activeCell="B12" sqref="B12:D12"/>
    </sheetView>
  </sheetViews>
  <sheetFormatPr defaultColWidth="14.44140625" defaultRowHeight="14.4" x14ac:dyDescent="0.3"/>
  <cols>
    <col min="1" max="26" width="25.44140625" customWidth="1"/>
  </cols>
  <sheetData>
    <row r="1" spans="1:4" x14ac:dyDescent="0.3">
      <c r="A1" s="73" t="s">
        <v>64</v>
      </c>
      <c r="B1" s="185" t="s">
        <v>131</v>
      </c>
      <c r="C1" s="186"/>
      <c r="D1" s="187"/>
    </row>
    <row r="2" spans="1:4" x14ac:dyDescent="0.3">
      <c r="A2" s="73" t="s">
        <v>61</v>
      </c>
      <c r="B2" s="82">
        <v>1</v>
      </c>
      <c r="C2" s="73" t="s">
        <v>65</v>
      </c>
      <c r="D2" s="75">
        <v>1</v>
      </c>
    </row>
    <row r="3" spans="1:4" x14ac:dyDescent="0.3">
      <c r="A3" s="73" t="s">
        <v>66</v>
      </c>
      <c r="B3" s="8"/>
      <c r="C3" s="73" t="s">
        <v>67</v>
      </c>
      <c r="D3" s="8"/>
    </row>
    <row r="4" spans="1:4" x14ac:dyDescent="0.3">
      <c r="A4" s="73" t="s">
        <v>68</v>
      </c>
      <c r="B4" s="8" t="s">
        <v>74</v>
      </c>
      <c r="C4" s="73" t="s">
        <v>69</v>
      </c>
      <c r="D4" s="8"/>
    </row>
    <row r="5" spans="1:4" x14ac:dyDescent="0.3">
      <c r="A5" s="73" t="s">
        <v>70</v>
      </c>
      <c r="B5" s="8" t="s">
        <v>29</v>
      </c>
      <c r="C5" s="73" t="s">
        <v>71</v>
      </c>
      <c r="D5" s="8" t="s">
        <v>72</v>
      </c>
    </row>
    <row r="6" spans="1:4" x14ac:dyDescent="0.3">
      <c r="A6" s="76" t="s">
        <v>73</v>
      </c>
      <c r="B6" s="76" t="s">
        <v>32</v>
      </c>
      <c r="C6" s="8" t="s">
        <v>74</v>
      </c>
      <c r="D6" s="8"/>
    </row>
    <row r="7" spans="1:4" x14ac:dyDescent="0.3">
      <c r="A7" s="76" t="s">
        <v>31</v>
      </c>
      <c r="B7" s="76" t="s">
        <v>72</v>
      </c>
      <c r="C7" s="8" t="s">
        <v>75</v>
      </c>
      <c r="D7" s="8"/>
    </row>
    <row r="8" spans="1:4" x14ac:dyDescent="0.3">
      <c r="A8" s="76" t="s">
        <v>76</v>
      </c>
      <c r="B8" s="76" t="s">
        <v>77</v>
      </c>
      <c r="C8" s="8" t="s">
        <v>78</v>
      </c>
      <c r="D8" s="8"/>
    </row>
    <row r="9" spans="1:4" x14ac:dyDescent="0.3">
      <c r="A9" s="76" t="s">
        <v>29</v>
      </c>
      <c r="B9" s="8"/>
      <c r="C9" s="8" t="s">
        <v>79</v>
      </c>
      <c r="D9" s="8"/>
    </row>
    <row r="10" spans="1:4" x14ac:dyDescent="0.3">
      <c r="A10" s="76" t="s">
        <v>27</v>
      </c>
      <c r="B10" s="8"/>
      <c r="C10" s="8" t="s">
        <v>80</v>
      </c>
      <c r="D10" s="8"/>
    </row>
    <row r="11" spans="1:4" x14ac:dyDescent="0.3">
      <c r="A11" s="73" t="s">
        <v>81</v>
      </c>
      <c r="B11" s="8"/>
      <c r="C11" s="73" t="s">
        <v>82</v>
      </c>
      <c r="D11" s="8"/>
    </row>
    <row r="12" spans="1:4" ht="237" customHeight="1" x14ac:dyDescent="0.3">
      <c r="A12" s="77" t="s">
        <v>83</v>
      </c>
      <c r="B12" s="188" t="s">
        <v>157</v>
      </c>
      <c r="C12" s="186"/>
      <c r="D12" s="187"/>
    </row>
    <row r="13" spans="1:4" ht="145.5" customHeight="1" x14ac:dyDescent="0.3">
      <c r="A13" s="73" t="s">
        <v>84</v>
      </c>
      <c r="B13" s="185"/>
      <c r="C13" s="186"/>
      <c r="D13" s="187"/>
    </row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3">
    <mergeCell ref="B1:D1"/>
    <mergeCell ref="B12:D12"/>
    <mergeCell ref="B13:D13"/>
  </mergeCells>
  <dataValidations count="3">
    <dataValidation type="list" allowBlank="1" showErrorMessage="1" sqref="B4" xr:uid="{DBFF2B3F-FC7F-4B55-8183-F8E6109C1C52}">
      <formula1>$C$6:$C$10</formula1>
    </dataValidation>
    <dataValidation type="list" allowBlank="1" showErrorMessage="1" sqref="D5" xr:uid="{4E512536-9EF0-47DF-A7BF-A97FD3ECA0AA}">
      <formula1>$B$6:$B$8</formula1>
    </dataValidation>
    <dataValidation type="list" allowBlank="1" showErrorMessage="1" sqref="B5" xr:uid="{B9D66296-0652-4B64-A72C-6B00FE869562}">
      <formula1>$A$6:$A$10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9"/>
  <sheetViews>
    <sheetView workbookViewId="0">
      <selection activeCell="C8" sqref="C8"/>
    </sheetView>
  </sheetViews>
  <sheetFormatPr defaultColWidth="14.44140625" defaultRowHeight="15" customHeight="1" x14ac:dyDescent="0.3"/>
  <cols>
    <col min="1" max="1" width="8.6640625" customWidth="1"/>
    <col min="2" max="2" width="38.6640625" customWidth="1"/>
    <col min="3" max="3" width="35.5546875" customWidth="1"/>
    <col min="4" max="6" width="8.6640625" customWidth="1"/>
    <col min="7" max="7" width="28" customWidth="1"/>
    <col min="8" max="8" width="12.44140625" customWidth="1"/>
    <col min="9" max="26" width="8.6640625" customWidth="1"/>
  </cols>
  <sheetData>
    <row r="1" spans="1:8" ht="26.4" x14ac:dyDescent="0.3">
      <c r="A1" s="28"/>
      <c r="B1" s="29" t="s">
        <v>43</v>
      </c>
      <c r="C1" s="30" t="s">
        <v>103</v>
      </c>
      <c r="D1" s="31"/>
      <c r="E1" s="32"/>
      <c r="F1" s="29" t="s">
        <v>44</v>
      </c>
      <c r="G1" s="33" t="s">
        <v>124</v>
      </c>
      <c r="H1" s="34"/>
    </row>
    <row r="2" spans="1:8" ht="14.4" x14ac:dyDescent="0.3">
      <c r="A2" s="179"/>
      <c r="B2" s="181" t="s">
        <v>45</v>
      </c>
      <c r="C2" s="183" t="s">
        <v>102</v>
      </c>
      <c r="D2" s="35"/>
      <c r="E2" s="36"/>
      <c r="F2" s="37" t="s">
        <v>46</v>
      </c>
      <c r="G2" t="s">
        <v>117</v>
      </c>
      <c r="H2" s="39"/>
    </row>
    <row r="3" spans="1:8" thickBot="1" x14ac:dyDescent="0.35">
      <c r="A3" s="180"/>
      <c r="B3" s="182"/>
      <c r="C3" s="184"/>
      <c r="D3" s="35"/>
      <c r="E3" s="36"/>
      <c r="F3" s="37" t="s">
        <v>47</v>
      </c>
      <c r="G3" s="40"/>
      <c r="H3" s="39"/>
    </row>
    <row r="4" spans="1:8" ht="14.4" x14ac:dyDescent="0.3">
      <c r="A4" s="41"/>
      <c r="B4" s="29" t="s">
        <v>48</v>
      </c>
      <c r="C4" s="42" t="s">
        <v>118</v>
      </c>
      <c r="D4" s="31"/>
      <c r="E4" s="32"/>
      <c r="F4" s="29" t="s">
        <v>49</v>
      </c>
      <c r="G4" s="43"/>
      <c r="H4" s="34"/>
    </row>
    <row r="5" spans="1:8" ht="14.4" x14ac:dyDescent="0.3">
      <c r="A5" s="44"/>
      <c r="B5" s="45"/>
      <c r="C5" s="45"/>
      <c r="D5" s="46"/>
      <c r="E5" s="46"/>
      <c r="F5" s="46"/>
      <c r="G5" s="45"/>
      <c r="H5" s="45"/>
    </row>
    <row r="6" spans="1:8" ht="14.4" x14ac:dyDescent="0.3">
      <c r="A6" s="41"/>
      <c r="B6" s="29" t="s">
        <v>50</v>
      </c>
      <c r="C6" s="47" t="s">
        <v>104</v>
      </c>
      <c r="D6" s="48"/>
      <c r="E6" s="49"/>
      <c r="F6" s="49"/>
      <c r="G6" s="49"/>
      <c r="H6" s="47"/>
    </row>
    <row r="7" spans="1:8" ht="14.4" x14ac:dyDescent="0.3">
      <c r="A7" s="44"/>
      <c r="B7" s="50"/>
      <c r="C7" s="50"/>
      <c r="D7" s="51"/>
      <c r="E7" s="2"/>
      <c r="F7" s="2"/>
      <c r="G7" s="2"/>
      <c r="H7" s="45"/>
    </row>
    <row r="8" spans="1:8" ht="14.4" x14ac:dyDescent="0.3">
      <c r="A8" s="44"/>
      <c r="B8" s="45"/>
      <c r="C8" s="45"/>
      <c r="D8" s="46"/>
      <c r="E8" s="2"/>
      <c r="F8" s="2"/>
      <c r="G8" s="2"/>
      <c r="H8" s="45"/>
    </row>
    <row r="9" spans="1:8" ht="14.4" x14ac:dyDescent="0.3">
      <c r="A9" s="44"/>
      <c r="B9" s="45"/>
      <c r="C9" s="45"/>
      <c r="D9" s="46"/>
      <c r="E9" s="46"/>
      <c r="F9" s="46"/>
      <c r="G9" s="45"/>
      <c r="H9" s="45"/>
    </row>
    <row r="10" spans="1:8" ht="14.4" x14ac:dyDescent="0.3">
      <c r="A10" s="52">
        <f>COUNTA(A12:A27)</f>
        <v>5</v>
      </c>
      <c r="B10" s="53" t="s">
        <v>51</v>
      </c>
      <c r="C10" s="54" t="s">
        <v>52</v>
      </c>
      <c r="D10" s="55">
        <f t="shared" ref="D10:F10" si="0">COUNTIF(D12:D27,"x")</f>
        <v>4</v>
      </c>
      <c r="E10" s="55">
        <f t="shared" si="0"/>
        <v>0</v>
      </c>
      <c r="F10" s="55">
        <f t="shared" si="0"/>
        <v>0</v>
      </c>
      <c r="G10" s="56" t="s">
        <v>53</v>
      </c>
      <c r="H10" s="57">
        <f>(D10+E10+F10)/A10</f>
        <v>0.8</v>
      </c>
    </row>
    <row r="11" spans="1:8" ht="25.8" x14ac:dyDescent="0.3">
      <c r="A11" s="58" t="s">
        <v>54</v>
      </c>
      <c r="B11" s="59" t="s">
        <v>55</v>
      </c>
      <c r="C11" s="59" t="s">
        <v>56</v>
      </c>
      <c r="D11" s="60" t="s">
        <v>57</v>
      </c>
      <c r="E11" s="60" t="s">
        <v>58</v>
      </c>
      <c r="F11" s="60" t="s">
        <v>59</v>
      </c>
      <c r="G11" s="61" t="s">
        <v>60</v>
      </c>
      <c r="H11" s="62" t="s">
        <v>61</v>
      </c>
    </row>
    <row r="12" spans="1:8" ht="14.4" x14ac:dyDescent="0.3">
      <c r="A12" s="63">
        <v>1</v>
      </c>
      <c r="B12" s="64" t="s">
        <v>105</v>
      </c>
      <c r="C12" s="64" t="s">
        <v>106</v>
      </c>
      <c r="D12" s="65" t="s">
        <v>62</v>
      </c>
      <c r="E12" s="65"/>
      <c r="F12" s="65"/>
      <c r="G12" s="64" t="s">
        <v>106</v>
      </c>
      <c r="H12" s="66"/>
    </row>
    <row r="13" spans="1:8" ht="14.4" x14ac:dyDescent="0.3">
      <c r="A13" s="67">
        <f>A12 + 1</f>
        <v>2</v>
      </c>
      <c r="B13" s="68" t="s">
        <v>107</v>
      </c>
      <c r="C13" s="68" t="s">
        <v>108</v>
      </c>
      <c r="D13" s="65" t="s">
        <v>62</v>
      </c>
      <c r="E13" s="69"/>
      <c r="F13" s="69"/>
      <c r="G13" s="68" t="s">
        <v>108</v>
      </c>
      <c r="H13" s="70"/>
    </row>
    <row r="14" spans="1:8" ht="26.4" x14ac:dyDescent="0.3">
      <c r="A14" s="67">
        <v>3</v>
      </c>
      <c r="B14" t="s">
        <v>109</v>
      </c>
      <c r="C14" s="68" t="s">
        <v>110</v>
      </c>
      <c r="D14" s="71" t="s">
        <v>62</v>
      </c>
      <c r="E14" s="69"/>
      <c r="F14" s="69"/>
      <c r="G14" s="72" t="s">
        <v>110</v>
      </c>
      <c r="H14" s="70"/>
    </row>
    <row r="15" spans="1:8" ht="26.4" x14ac:dyDescent="0.3">
      <c r="A15" s="67">
        <v>4</v>
      </c>
      <c r="B15" s="68" t="s">
        <v>112</v>
      </c>
      <c r="C15" s="68" t="s">
        <v>111</v>
      </c>
      <c r="D15" s="71" t="s">
        <v>62</v>
      </c>
      <c r="E15" s="69"/>
      <c r="F15" s="69"/>
      <c r="G15" s="72" t="s">
        <v>111</v>
      </c>
      <c r="H15" s="70"/>
    </row>
    <row r="16" spans="1:8" ht="39.6" x14ac:dyDescent="0.3">
      <c r="A16" s="67">
        <v>5</v>
      </c>
      <c r="B16" s="68" t="s">
        <v>113</v>
      </c>
      <c r="C16" s="68" t="s">
        <v>114</v>
      </c>
      <c r="D16" s="71"/>
      <c r="E16" s="69" t="s">
        <v>115</v>
      </c>
      <c r="F16" s="69"/>
      <c r="G16" s="72" t="s">
        <v>116</v>
      </c>
      <c r="H16" s="70"/>
    </row>
    <row r="18" spans="2:3" ht="15" customHeight="1" x14ac:dyDescent="0.3">
      <c r="B18" s="50" t="s">
        <v>63</v>
      </c>
      <c r="C18" s="8">
        <v>123</v>
      </c>
    </row>
    <row r="20" spans="2:3" ht="15.75" customHeight="1" x14ac:dyDescent="0.3"/>
    <row r="21" spans="2:3" ht="15.75" customHeight="1" x14ac:dyDescent="0.3"/>
    <row r="22" spans="2:3" ht="15.75" customHeight="1" x14ac:dyDescent="0.3"/>
    <row r="23" spans="2:3" ht="15.75" customHeight="1" x14ac:dyDescent="0.3"/>
    <row r="24" spans="2:3" ht="15.75" customHeight="1" x14ac:dyDescent="0.3"/>
    <row r="25" spans="2:3" ht="15.75" customHeight="1" x14ac:dyDescent="0.3"/>
    <row r="26" spans="2:3" ht="15.75" customHeight="1" x14ac:dyDescent="0.3"/>
    <row r="27" spans="2:3" ht="15.75" customHeight="1" x14ac:dyDescent="0.3"/>
    <row r="28" spans="2:3" ht="15.75" customHeight="1" x14ac:dyDescent="0.3"/>
    <row r="29" spans="2:3" ht="15.75" customHeight="1" x14ac:dyDescent="0.3"/>
    <row r="30" spans="2:3" ht="15.75" customHeight="1" x14ac:dyDescent="0.3"/>
    <row r="31" spans="2:3" ht="15.75" customHeight="1" x14ac:dyDescent="0.3"/>
    <row r="32" spans="2:3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mergeCells count="3">
    <mergeCell ref="A2:A3"/>
    <mergeCell ref="B2:B3"/>
    <mergeCell ref="C2:C3"/>
  </mergeCells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activeCell="B12" sqref="B12:D12"/>
    </sheetView>
  </sheetViews>
  <sheetFormatPr defaultColWidth="14.44140625" defaultRowHeight="15" customHeight="1" x14ac:dyDescent="0.3"/>
  <cols>
    <col min="1" max="26" width="25.44140625" customWidth="1"/>
  </cols>
  <sheetData>
    <row r="1" spans="1:4" ht="14.4" x14ac:dyDescent="0.3">
      <c r="A1" s="73" t="s">
        <v>64</v>
      </c>
      <c r="B1" s="185" t="s">
        <v>119</v>
      </c>
      <c r="C1" s="186"/>
      <c r="D1" s="187"/>
    </row>
    <row r="2" spans="1:4" ht="14.4" x14ac:dyDescent="0.3">
      <c r="A2" s="73" t="s">
        <v>61</v>
      </c>
      <c r="B2" s="74">
        <v>2</v>
      </c>
      <c r="C2" s="73" t="s">
        <v>65</v>
      </c>
      <c r="D2" s="75">
        <v>2</v>
      </c>
    </row>
    <row r="3" spans="1:4" ht="14.4" x14ac:dyDescent="0.3">
      <c r="A3" s="73" t="s">
        <v>66</v>
      </c>
      <c r="B3" s="8"/>
      <c r="C3" s="73" t="s">
        <v>67</v>
      </c>
      <c r="D3" s="8"/>
    </row>
    <row r="4" spans="1:4" ht="14.4" x14ac:dyDescent="0.3">
      <c r="A4" s="73" t="s">
        <v>68</v>
      </c>
      <c r="B4" s="8" t="s">
        <v>74</v>
      </c>
      <c r="C4" s="73" t="s">
        <v>69</v>
      </c>
      <c r="D4" s="8"/>
    </row>
    <row r="5" spans="1:4" ht="14.4" x14ac:dyDescent="0.3">
      <c r="A5" s="73" t="s">
        <v>70</v>
      </c>
      <c r="B5" s="8" t="s">
        <v>29</v>
      </c>
      <c r="C5" s="73" t="s">
        <v>71</v>
      </c>
      <c r="D5" s="8" t="s">
        <v>72</v>
      </c>
    </row>
    <row r="6" spans="1:4" ht="14.4" x14ac:dyDescent="0.3">
      <c r="A6" s="76" t="s">
        <v>73</v>
      </c>
      <c r="B6" s="76" t="s">
        <v>32</v>
      </c>
      <c r="C6" s="8" t="s">
        <v>74</v>
      </c>
      <c r="D6" s="8"/>
    </row>
    <row r="7" spans="1:4" ht="14.4" x14ac:dyDescent="0.3">
      <c r="A7" s="76" t="s">
        <v>31</v>
      </c>
      <c r="B7" s="76" t="s">
        <v>72</v>
      </c>
      <c r="C7" s="8" t="s">
        <v>75</v>
      </c>
      <c r="D7" s="8"/>
    </row>
    <row r="8" spans="1:4" ht="14.4" x14ac:dyDescent="0.3">
      <c r="A8" s="76" t="s">
        <v>76</v>
      </c>
      <c r="B8" s="76" t="s">
        <v>77</v>
      </c>
      <c r="C8" s="8" t="s">
        <v>78</v>
      </c>
      <c r="D8" s="8"/>
    </row>
    <row r="9" spans="1:4" ht="14.4" x14ac:dyDescent="0.3">
      <c r="A9" s="76" t="s">
        <v>29</v>
      </c>
      <c r="B9" s="8"/>
      <c r="C9" s="8" t="s">
        <v>79</v>
      </c>
      <c r="D9" s="8"/>
    </row>
    <row r="10" spans="1:4" ht="14.4" x14ac:dyDescent="0.3">
      <c r="A10" s="76" t="s">
        <v>27</v>
      </c>
      <c r="B10" s="8"/>
      <c r="C10" s="8" t="s">
        <v>80</v>
      </c>
      <c r="D10" s="8"/>
    </row>
    <row r="11" spans="1:4" ht="14.4" x14ac:dyDescent="0.3">
      <c r="A11" s="73" t="s">
        <v>81</v>
      </c>
      <c r="B11" s="8"/>
      <c r="C11" s="73" t="s">
        <v>82</v>
      </c>
      <c r="D11" s="8"/>
    </row>
    <row r="12" spans="1:4" ht="237" customHeight="1" x14ac:dyDescent="0.3">
      <c r="A12" s="77" t="s">
        <v>83</v>
      </c>
      <c r="B12" s="188" t="s">
        <v>120</v>
      </c>
      <c r="C12" s="186"/>
      <c r="D12" s="187"/>
    </row>
    <row r="13" spans="1:4" ht="145.5" customHeight="1" x14ac:dyDescent="0.3">
      <c r="A13" s="73" t="s">
        <v>84</v>
      </c>
      <c r="B13" s="185"/>
      <c r="C13" s="186"/>
      <c r="D13" s="187"/>
    </row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3">
    <mergeCell ref="B1:D1"/>
    <mergeCell ref="B12:D12"/>
    <mergeCell ref="B13:D13"/>
  </mergeCells>
  <dataValidations count="3">
    <dataValidation type="list" allowBlank="1" showErrorMessage="1" sqref="B5" xr:uid="{00000000-0002-0000-0400-000000000000}">
      <formula1>$A$6:$A$10</formula1>
    </dataValidation>
    <dataValidation type="list" allowBlank="1" showErrorMessage="1" sqref="D5" xr:uid="{00000000-0002-0000-0400-000001000000}">
      <formula1>$B$6:$B$8</formula1>
    </dataValidation>
    <dataValidation type="list" allowBlank="1" showErrorMessage="1" sqref="B4" xr:uid="{00000000-0002-0000-0400-000002000000}">
      <formula1>$C$6:$C$10</formula1>
    </dataValidation>
  </dataValidations>
  <pageMargins left="0.7" right="0.7" top="0.75" bottom="0.75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241A3-2103-4BFF-89C5-329C30B8C00A}">
  <dimension ref="A1:H1000"/>
  <sheetViews>
    <sheetView workbookViewId="0">
      <selection activeCell="B13" sqref="B13"/>
    </sheetView>
  </sheetViews>
  <sheetFormatPr defaultColWidth="14.44140625" defaultRowHeight="14.4" x14ac:dyDescent="0.3"/>
  <cols>
    <col min="1" max="1" width="8.6640625" style="86" customWidth="1"/>
    <col min="2" max="2" width="32.44140625" style="86" customWidth="1"/>
    <col min="3" max="3" width="35.5546875" style="86" customWidth="1"/>
    <col min="4" max="6" width="8.6640625" style="86" customWidth="1"/>
    <col min="7" max="7" width="28" style="86" customWidth="1"/>
    <col min="8" max="8" width="12.44140625" style="86" customWidth="1"/>
    <col min="9" max="26" width="8.6640625" style="86" customWidth="1"/>
    <col min="27" max="16384" width="14.44140625" style="86"/>
  </cols>
  <sheetData>
    <row r="1" spans="1:8" x14ac:dyDescent="0.3">
      <c r="A1" s="28"/>
      <c r="B1" s="29" t="s">
        <v>43</v>
      </c>
      <c r="C1" s="30" t="s">
        <v>132</v>
      </c>
      <c r="D1" s="85"/>
      <c r="E1" s="32"/>
      <c r="F1" s="29" t="s">
        <v>44</v>
      </c>
      <c r="G1" s="33">
        <v>3</v>
      </c>
      <c r="H1" s="34"/>
    </row>
    <row r="2" spans="1:8" ht="25.2" customHeight="1" x14ac:dyDescent="0.3">
      <c r="A2" s="179"/>
      <c r="B2" s="181" t="s">
        <v>45</v>
      </c>
      <c r="C2" s="183" t="s">
        <v>133</v>
      </c>
      <c r="D2" s="87"/>
      <c r="E2" s="88"/>
      <c r="F2" s="89" t="s">
        <v>46</v>
      </c>
      <c r="G2" s="90" t="s">
        <v>117</v>
      </c>
      <c r="H2" s="39"/>
    </row>
    <row r="3" spans="1:8" ht="28.8" customHeight="1" thickBot="1" x14ac:dyDescent="0.35">
      <c r="A3" s="180"/>
      <c r="B3" s="182"/>
      <c r="C3" s="184"/>
      <c r="D3" s="87"/>
      <c r="E3" s="88"/>
      <c r="F3" s="89" t="s">
        <v>47</v>
      </c>
      <c r="G3" s="40">
        <v>3</v>
      </c>
      <c r="H3" s="39"/>
    </row>
    <row r="4" spans="1:8" x14ac:dyDescent="0.3">
      <c r="A4" s="41"/>
      <c r="B4" s="29" t="s">
        <v>48</v>
      </c>
      <c r="C4" s="42" t="s">
        <v>134</v>
      </c>
      <c r="D4" s="85"/>
      <c r="E4" s="32"/>
      <c r="F4" s="29" t="s">
        <v>49</v>
      </c>
      <c r="G4" s="43">
        <v>46159</v>
      </c>
      <c r="H4" s="34"/>
    </row>
    <row r="5" spans="1:8" ht="15" thickBot="1" x14ac:dyDescent="0.35">
      <c r="A5" s="44"/>
      <c r="B5" s="45"/>
      <c r="C5" s="45"/>
      <c r="D5" s="46"/>
      <c r="E5" s="46"/>
      <c r="F5" s="46"/>
      <c r="G5" s="45"/>
      <c r="H5" s="45"/>
    </row>
    <row r="6" spans="1:8" x14ac:dyDescent="0.3">
      <c r="A6" s="41"/>
      <c r="B6" s="29" t="s">
        <v>50</v>
      </c>
      <c r="C6" s="47" t="s">
        <v>135</v>
      </c>
      <c r="D6" s="48"/>
      <c r="E6" s="91"/>
      <c r="F6" s="91"/>
      <c r="G6" s="91"/>
      <c r="H6" s="47"/>
    </row>
    <row r="7" spans="1:8" x14ac:dyDescent="0.3">
      <c r="A7" s="44"/>
      <c r="B7" s="50"/>
      <c r="C7" s="50"/>
      <c r="D7" s="51"/>
      <c r="H7" s="45"/>
    </row>
    <row r="8" spans="1:8" x14ac:dyDescent="0.3">
      <c r="A8" s="44"/>
      <c r="B8" s="45"/>
      <c r="C8" s="45"/>
      <c r="D8" s="46"/>
      <c r="H8" s="45"/>
    </row>
    <row r="9" spans="1:8" ht="15" thickBot="1" x14ac:dyDescent="0.35">
      <c r="A9" s="44"/>
      <c r="B9" s="45"/>
      <c r="C9" s="45"/>
      <c r="D9" s="46"/>
      <c r="E9" s="46"/>
      <c r="F9" s="46"/>
      <c r="G9" s="45"/>
      <c r="H9" s="45"/>
    </row>
    <row r="10" spans="1:8" ht="15" thickBot="1" x14ac:dyDescent="0.35">
      <c r="A10" s="52">
        <f>COUNTA(A12:A28)</f>
        <v>3</v>
      </c>
      <c r="B10" s="53" t="s">
        <v>51</v>
      </c>
      <c r="C10" s="54" t="s">
        <v>52</v>
      </c>
      <c r="D10" s="55">
        <f t="shared" ref="D10:F10" si="0">COUNTIF(D12:D28,"x")</f>
        <v>2</v>
      </c>
      <c r="E10" s="55">
        <f t="shared" si="0"/>
        <v>1</v>
      </c>
      <c r="F10" s="55">
        <f t="shared" si="0"/>
        <v>0</v>
      </c>
      <c r="G10" s="56" t="s">
        <v>53</v>
      </c>
      <c r="H10" s="57">
        <f>(D10+E10+F10)/A10</f>
        <v>1</v>
      </c>
    </row>
    <row r="11" spans="1:8" ht="26.4" thickBot="1" x14ac:dyDescent="0.35">
      <c r="A11" s="58" t="s">
        <v>54</v>
      </c>
      <c r="B11" s="59" t="s">
        <v>55</v>
      </c>
      <c r="C11" s="59" t="s">
        <v>56</v>
      </c>
      <c r="D11" s="60" t="s">
        <v>57</v>
      </c>
      <c r="E11" s="60" t="s">
        <v>58</v>
      </c>
      <c r="F11" s="60" t="s">
        <v>59</v>
      </c>
      <c r="G11" s="61" t="s">
        <v>60</v>
      </c>
      <c r="H11" s="62" t="s">
        <v>61</v>
      </c>
    </row>
    <row r="12" spans="1:8" ht="52.8" x14ac:dyDescent="0.3">
      <c r="A12" s="63">
        <v>1</v>
      </c>
      <c r="B12" s="64" t="s">
        <v>158</v>
      </c>
      <c r="C12" s="64" t="s">
        <v>136</v>
      </c>
      <c r="D12" s="71" t="s">
        <v>62</v>
      </c>
      <c r="E12" s="71"/>
      <c r="F12" s="71"/>
      <c r="G12" s="64" t="s">
        <v>136</v>
      </c>
      <c r="H12" s="66"/>
    </row>
    <row r="13" spans="1:8" x14ac:dyDescent="0.3">
      <c r="A13" s="67">
        <f>A12 + 1</f>
        <v>2</v>
      </c>
      <c r="B13" s="68" t="s">
        <v>159</v>
      </c>
      <c r="C13" s="68" t="s">
        <v>137</v>
      </c>
      <c r="D13" s="71" t="s">
        <v>62</v>
      </c>
      <c r="E13" s="69"/>
      <c r="F13" s="69"/>
      <c r="G13" s="68" t="s">
        <v>137</v>
      </c>
      <c r="H13" s="70"/>
    </row>
    <row r="14" spans="1:8" ht="39.6" x14ac:dyDescent="0.3">
      <c r="A14" s="67">
        <v>3</v>
      </c>
      <c r="B14" s="68" t="s">
        <v>138</v>
      </c>
      <c r="C14" s="68" t="s">
        <v>139</v>
      </c>
      <c r="D14" s="71"/>
      <c r="E14" s="69" t="s">
        <v>62</v>
      </c>
      <c r="F14" s="69"/>
      <c r="G14" s="68" t="s">
        <v>140</v>
      </c>
      <c r="H14" s="70">
        <v>3</v>
      </c>
    </row>
    <row r="15" spans="1:8" x14ac:dyDescent="0.3">
      <c r="A15" s="67"/>
      <c r="B15" s="68"/>
      <c r="C15" s="68"/>
      <c r="D15" s="71"/>
      <c r="E15" s="69"/>
      <c r="F15" s="69"/>
      <c r="G15" s="83"/>
      <c r="H15" s="70"/>
    </row>
    <row r="21" s="86" customFormat="1" ht="15.75" customHeight="1" x14ac:dyDescent="0.3"/>
    <row r="22" s="86" customFormat="1" ht="15.75" customHeight="1" x14ac:dyDescent="0.3"/>
    <row r="23" s="86" customFormat="1" ht="15.75" customHeight="1" x14ac:dyDescent="0.3"/>
    <row r="24" s="86" customFormat="1" ht="15.75" customHeight="1" x14ac:dyDescent="0.3"/>
    <row r="25" s="86" customFormat="1" ht="15.75" customHeight="1" x14ac:dyDescent="0.3"/>
    <row r="26" s="86" customFormat="1" ht="15.75" customHeight="1" x14ac:dyDescent="0.3"/>
    <row r="27" s="86" customFormat="1" ht="15.75" customHeight="1" x14ac:dyDescent="0.3"/>
    <row r="28" s="86" customFormat="1" ht="15.75" customHeight="1" x14ac:dyDescent="0.3"/>
    <row r="29" s="86" customFormat="1" ht="15.75" customHeight="1" x14ac:dyDescent="0.3"/>
    <row r="30" s="86" customFormat="1" ht="15.75" customHeight="1" x14ac:dyDescent="0.3"/>
    <row r="31" s="86" customFormat="1" ht="15.75" customHeight="1" x14ac:dyDescent="0.3"/>
    <row r="32" s="86" customFormat="1" ht="15.75" customHeight="1" x14ac:dyDescent="0.3"/>
    <row r="33" s="86" customFormat="1" ht="15.75" customHeight="1" x14ac:dyDescent="0.3"/>
    <row r="34" s="86" customFormat="1" ht="15.75" customHeight="1" x14ac:dyDescent="0.3"/>
    <row r="35" s="86" customFormat="1" ht="15.75" customHeight="1" x14ac:dyDescent="0.3"/>
    <row r="36" s="86" customFormat="1" ht="15.75" customHeight="1" x14ac:dyDescent="0.3"/>
    <row r="37" s="86" customFormat="1" ht="15.75" customHeight="1" x14ac:dyDescent="0.3"/>
    <row r="38" s="86" customFormat="1" ht="15.75" customHeight="1" x14ac:dyDescent="0.3"/>
    <row r="39" s="86" customFormat="1" ht="15.75" customHeight="1" x14ac:dyDescent="0.3"/>
    <row r="40" s="86" customFormat="1" ht="15.75" customHeight="1" x14ac:dyDescent="0.3"/>
    <row r="41" s="86" customFormat="1" ht="15.75" customHeight="1" x14ac:dyDescent="0.3"/>
    <row r="42" s="86" customFormat="1" ht="15.75" customHeight="1" x14ac:dyDescent="0.3"/>
    <row r="43" s="86" customFormat="1" ht="15.75" customHeight="1" x14ac:dyDescent="0.3"/>
    <row r="44" s="86" customFormat="1" ht="15.75" customHeight="1" x14ac:dyDescent="0.3"/>
    <row r="45" s="86" customFormat="1" ht="15.75" customHeight="1" x14ac:dyDescent="0.3"/>
    <row r="46" s="86" customFormat="1" ht="15.75" customHeight="1" x14ac:dyDescent="0.3"/>
    <row r="47" s="86" customFormat="1" ht="15.75" customHeight="1" x14ac:dyDescent="0.3"/>
    <row r="48" s="86" customFormat="1" ht="15.75" customHeight="1" x14ac:dyDescent="0.3"/>
    <row r="49" s="86" customFormat="1" ht="15.75" customHeight="1" x14ac:dyDescent="0.3"/>
    <row r="50" s="86" customFormat="1" ht="15.75" customHeight="1" x14ac:dyDescent="0.3"/>
    <row r="51" s="86" customFormat="1" ht="15.75" customHeight="1" x14ac:dyDescent="0.3"/>
    <row r="52" s="86" customFormat="1" ht="15.75" customHeight="1" x14ac:dyDescent="0.3"/>
    <row r="53" s="86" customFormat="1" ht="15.75" customHeight="1" x14ac:dyDescent="0.3"/>
    <row r="54" s="86" customFormat="1" ht="15.75" customHeight="1" x14ac:dyDescent="0.3"/>
    <row r="55" s="86" customFormat="1" ht="15.75" customHeight="1" x14ac:dyDescent="0.3"/>
    <row r="56" s="86" customFormat="1" ht="15.75" customHeight="1" x14ac:dyDescent="0.3"/>
    <row r="57" s="86" customFormat="1" ht="15.75" customHeight="1" x14ac:dyDescent="0.3"/>
    <row r="58" s="86" customFormat="1" ht="15.75" customHeight="1" x14ac:dyDescent="0.3"/>
    <row r="59" s="86" customFormat="1" ht="15.75" customHeight="1" x14ac:dyDescent="0.3"/>
    <row r="60" s="86" customFormat="1" ht="15.75" customHeight="1" x14ac:dyDescent="0.3"/>
    <row r="61" s="86" customFormat="1" ht="15.75" customHeight="1" x14ac:dyDescent="0.3"/>
    <row r="62" s="86" customFormat="1" ht="15.75" customHeight="1" x14ac:dyDescent="0.3"/>
    <row r="63" s="86" customFormat="1" ht="15.75" customHeight="1" x14ac:dyDescent="0.3"/>
    <row r="64" s="86" customFormat="1" ht="15.75" customHeight="1" x14ac:dyDescent="0.3"/>
    <row r="65" s="86" customFormat="1" ht="15.75" customHeight="1" x14ac:dyDescent="0.3"/>
    <row r="66" s="86" customFormat="1" ht="15.75" customHeight="1" x14ac:dyDescent="0.3"/>
    <row r="67" s="86" customFormat="1" ht="15.75" customHeight="1" x14ac:dyDescent="0.3"/>
    <row r="68" s="86" customFormat="1" ht="15.75" customHeight="1" x14ac:dyDescent="0.3"/>
    <row r="69" s="86" customFormat="1" ht="15.75" customHeight="1" x14ac:dyDescent="0.3"/>
    <row r="70" s="86" customFormat="1" ht="15.75" customHeight="1" x14ac:dyDescent="0.3"/>
    <row r="71" s="86" customFormat="1" ht="15.75" customHeight="1" x14ac:dyDescent="0.3"/>
    <row r="72" s="86" customFormat="1" ht="15.75" customHeight="1" x14ac:dyDescent="0.3"/>
    <row r="73" s="86" customFormat="1" ht="15.75" customHeight="1" x14ac:dyDescent="0.3"/>
    <row r="74" s="86" customFormat="1" ht="15.75" customHeight="1" x14ac:dyDescent="0.3"/>
    <row r="75" s="86" customFormat="1" ht="15.75" customHeight="1" x14ac:dyDescent="0.3"/>
    <row r="76" s="86" customFormat="1" ht="15.75" customHeight="1" x14ac:dyDescent="0.3"/>
    <row r="77" s="86" customFormat="1" ht="15.75" customHeight="1" x14ac:dyDescent="0.3"/>
    <row r="78" s="86" customFormat="1" ht="15.75" customHeight="1" x14ac:dyDescent="0.3"/>
    <row r="79" s="86" customFormat="1" ht="15.75" customHeight="1" x14ac:dyDescent="0.3"/>
    <row r="80" s="86" customFormat="1" ht="15.75" customHeight="1" x14ac:dyDescent="0.3"/>
    <row r="81" s="86" customFormat="1" ht="15.75" customHeight="1" x14ac:dyDescent="0.3"/>
    <row r="82" s="86" customFormat="1" ht="15.75" customHeight="1" x14ac:dyDescent="0.3"/>
    <row r="83" s="86" customFormat="1" ht="15.75" customHeight="1" x14ac:dyDescent="0.3"/>
    <row r="84" s="86" customFormat="1" ht="15.75" customHeight="1" x14ac:dyDescent="0.3"/>
    <row r="85" s="86" customFormat="1" ht="15.75" customHeight="1" x14ac:dyDescent="0.3"/>
    <row r="86" s="86" customFormat="1" ht="15.75" customHeight="1" x14ac:dyDescent="0.3"/>
    <row r="87" s="86" customFormat="1" ht="15.75" customHeight="1" x14ac:dyDescent="0.3"/>
    <row r="88" s="86" customFormat="1" ht="15.75" customHeight="1" x14ac:dyDescent="0.3"/>
    <row r="89" s="86" customFormat="1" ht="15.75" customHeight="1" x14ac:dyDescent="0.3"/>
    <row r="90" s="86" customFormat="1" ht="15.75" customHeight="1" x14ac:dyDescent="0.3"/>
    <row r="91" s="86" customFormat="1" ht="15.75" customHeight="1" x14ac:dyDescent="0.3"/>
    <row r="92" s="86" customFormat="1" ht="15.75" customHeight="1" x14ac:dyDescent="0.3"/>
    <row r="93" s="86" customFormat="1" ht="15.75" customHeight="1" x14ac:dyDescent="0.3"/>
    <row r="94" s="86" customFormat="1" ht="15.75" customHeight="1" x14ac:dyDescent="0.3"/>
    <row r="95" s="86" customFormat="1" ht="15.75" customHeight="1" x14ac:dyDescent="0.3"/>
    <row r="96" s="86" customFormat="1" ht="15.75" customHeight="1" x14ac:dyDescent="0.3"/>
    <row r="97" s="86" customFormat="1" ht="15.75" customHeight="1" x14ac:dyDescent="0.3"/>
    <row r="98" s="86" customFormat="1" ht="15.75" customHeight="1" x14ac:dyDescent="0.3"/>
    <row r="99" s="86" customFormat="1" ht="15.75" customHeight="1" x14ac:dyDescent="0.3"/>
    <row r="100" s="86" customFormat="1" ht="15.75" customHeight="1" x14ac:dyDescent="0.3"/>
    <row r="101" s="86" customFormat="1" ht="15.75" customHeight="1" x14ac:dyDescent="0.3"/>
    <row r="102" s="86" customFormat="1" ht="15.75" customHeight="1" x14ac:dyDescent="0.3"/>
    <row r="103" s="86" customFormat="1" ht="15.75" customHeight="1" x14ac:dyDescent="0.3"/>
    <row r="104" s="86" customFormat="1" ht="15.75" customHeight="1" x14ac:dyDescent="0.3"/>
    <row r="105" s="86" customFormat="1" ht="15.75" customHeight="1" x14ac:dyDescent="0.3"/>
    <row r="106" s="86" customFormat="1" ht="15.75" customHeight="1" x14ac:dyDescent="0.3"/>
    <row r="107" s="86" customFormat="1" ht="15.75" customHeight="1" x14ac:dyDescent="0.3"/>
    <row r="108" s="86" customFormat="1" ht="15.75" customHeight="1" x14ac:dyDescent="0.3"/>
    <row r="109" s="86" customFormat="1" ht="15.75" customHeight="1" x14ac:dyDescent="0.3"/>
    <row r="110" s="86" customFormat="1" ht="15.75" customHeight="1" x14ac:dyDescent="0.3"/>
    <row r="111" s="86" customFormat="1" ht="15.75" customHeight="1" x14ac:dyDescent="0.3"/>
    <row r="112" s="86" customFormat="1" ht="15.75" customHeight="1" x14ac:dyDescent="0.3"/>
    <row r="113" s="86" customFormat="1" ht="15.75" customHeight="1" x14ac:dyDescent="0.3"/>
    <row r="114" s="86" customFormat="1" ht="15.75" customHeight="1" x14ac:dyDescent="0.3"/>
    <row r="115" s="86" customFormat="1" ht="15.75" customHeight="1" x14ac:dyDescent="0.3"/>
    <row r="116" s="86" customFormat="1" ht="15.75" customHeight="1" x14ac:dyDescent="0.3"/>
    <row r="117" s="86" customFormat="1" ht="15.75" customHeight="1" x14ac:dyDescent="0.3"/>
    <row r="118" s="86" customFormat="1" ht="15.75" customHeight="1" x14ac:dyDescent="0.3"/>
    <row r="119" s="86" customFormat="1" ht="15.75" customHeight="1" x14ac:dyDescent="0.3"/>
    <row r="120" s="86" customFormat="1" ht="15.75" customHeight="1" x14ac:dyDescent="0.3"/>
    <row r="121" s="86" customFormat="1" ht="15.75" customHeight="1" x14ac:dyDescent="0.3"/>
    <row r="122" s="86" customFormat="1" ht="15.75" customHeight="1" x14ac:dyDescent="0.3"/>
    <row r="123" s="86" customFormat="1" ht="15.75" customHeight="1" x14ac:dyDescent="0.3"/>
    <row r="124" s="86" customFormat="1" ht="15.75" customHeight="1" x14ac:dyDescent="0.3"/>
    <row r="125" s="86" customFormat="1" ht="15.75" customHeight="1" x14ac:dyDescent="0.3"/>
    <row r="126" s="86" customFormat="1" ht="15.75" customHeight="1" x14ac:dyDescent="0.3"/>
    <row r="127" s="86" customFormat="1" ht="15.75" customHeight="1" x14ac:dyDescent="0.3"/>
    <row r="128" s="86" customFormat="1" ht="15.75" customHeight="1" x14ac:dyDescent="0.3"/>
    <row r="129" s="86" customFormat="1" ht="15.75" customHeight="1" x14ac:dyDescent="0.3"/>
    <row r="130" s="86" customFormat="1" ht="15.75" customHeight="1" x14ac:dyDescent="0.3"/>
    <row r="131" s="86" customFormat="1" ht="15.75" customHeight="1" x14ac:dyDescent="0.3"/>
    <row r="132" s="86" customFormat="1" ht="15.75" customHeight="1" x14ac:dyDescent="0.3"/>
    <row r="133" s="86" customFormat="1" ht="15.75" customHeight="1" x14ac:dyDescent="0.3"/>
    <row r="134" s="86" customFormat="1" ht="15.75" customHeight="1" x14ac:dyDescent="0.3"/>
    <row r="135" s="86" customFormat="1" ht="15.75" customHeight="1" x14ac:dyDescent="0.3"/>
    <row r="136" s="86" customFormat="1" ht="15.75" customHeight="1" x14ac:dyDescent="0.3"/>
    <row r="137" s="86" customFormat="1" ht="15.75" customHeight="1" x14ac:dyDescent="0.3"/>
    <row r="138" s="86" customFormat="1" ht="15.75" customHeight="1" x14ac:dyDescent="0.3"/>
    <row r="139" s="86" customFormat="1" ht="15.75" customHeight="1" x14ac:dyDescent="0.3"/>
    <row r="140" s="86" customFormat="1" ht="15.75" customHeight="1" x14ac:dyDescent="0.3"/>
    <row r="141" s="86" customFormat="1" ht="15.75" customHeight="1" x14ac:dyDescent="0.3"/>
    <row r="142" s="86" customFormat="1" ht="15.75" customHeight="1" x14ac:dyDescent="0.3"/>
    <row r="143" s="86" customFormat="1" ht="15.75" customHeight="1" x14ac:dyDescent="0.3"/>
    <row r="144" s="86" customFormat="1" ht="15.75" customHeight="1" x14ac:dyDescent="0.3"/>
    <row r="145" s="86" customFormat="1" ht="15.75" customHeight="1" x14ac:dyDescent="0.3"/>
    <row r="146" s="86" customFormat="1" ht="15.75" customHeight="1" x14ac:dyDescent="0.3"/>
    <row r="147" s="86" customFormat="1" ht="15.75" customHeight="1" x14ac:dyDescent="0.3"/>
    <row r="148" s="86" customFormat="1" ht="15.75" customHeight="1" x14ac:dyDescent="0.3"/>
    <row r="149" s="86" customFormat="1" ht="15.75" customHeight="1" x14ac:dyDescent="0.3"/>
    <row r="150" s="86" customFormat="1" ht="15.75" customHeight="1" x14ac:dyDescent="0.3"/>
    <row r="151" s="86" customFormat="1" ht="15.75" customHeight="1" x14ac:dyDescent="0.3"/>
    <row r="152" s="86" customFormat="1" ht="15.75" customHeight="1" x14ac:dyDescent="0.3"/>
    <row r="153" s="86" customFormat="1" ht="15.75" customHeight="1" x14ac:dyDescent="0.3"/>
    <row r="154" s="86" customFormat="1" ht="15.75" customHeight="1" x14ac:dyDescent="0.3"/>
    <row r="155" s="86" customFormat="1" ht="15.75" customHeight="1" x14ac:dyDescent="0.3"/>
    <row r="156" s="86" customFormat="1" ht="15.75" customHeight="1" x14ac:dyDescent="0.3"/>
    <row r="157" s="86" customFormat="1" ht="15.75" customHeight="1" x14ac:dyDescent="0.3"/>
    <row r="158" s="86" customFormat="1" ht="15.75" customHeight="1" x14ac:dyDescent="0.3"/>
    <row r="159" s="86" customFormat="1" ht="15.75" customHeight="1" x14ac:dyDescent="0.3"/>
    <row r="160" s="86" customFormat="1" ht="15.75" customHeight="1" x14ac:dyDescent="0.3"/>
    <row r="161" s="86" customFormat="1" ht="15.75" customHeight="1" x14ac:dyDescent="0.3"/>
    <row r="162" s="86" customFormat="1" ht="15.75" customHeight="1" x14ac:dyDescent="0.3"/>
    <row r="163" s="86" customFormat="1" ht="15.75" customHeight="1" x14ac:dyDescent="0.3"/>
    <row r="164" s="86" customFormat="1" ht="15.75" customHeight="1" x14ac:dyDescent="0.3"/>
    <row r="165" s="86" customFormat="1" ht="15.75" customHeight="1" x14ac:dyDescent="0.3"/>
    <row r="166" s="86" customFormat="1" ht="15.75" customHeight="1" x14ac:dyDescent="0.3"/>
    <row r="167" s="86" customFormat="1" ht="15.75" customHeight="1" x14ac:dyDescent="0.3"/>
    <row r="168" s="86" customFormat="1" ht="15.75" customHeight="1" x14ac:dyDescent="0.3"/>
    <row r="169" s="86" customFormat="1" ht="15.75" customHeight="1" x14ac:dyDescent="0.3"/>
    <row r="170" s="86" customFormat="1" ht="15.75" customHeight="1" x14ac:dyDescent="0.3"/>
    <row r="171" s="86" customFormat="1" ht="15.75" customHeight="1" x14ac:dyDescent="0.3"/>
    <row r="172" s="86" customFormat="1" ht="15.75" customHeight="1" x14ac:dyDescent="0.3"/>
    <row r="173" s="86" customFormat="1" ht="15.75" customHeight="1" x14ac:dyDescent="0.3"/>
    <row r="174" s="86" customFormat="1" ht="15.75" customHeight="1" x14ac:dyDescent="0.3"/>
    <row r="175" s="86" customFormat="1" ht="15.75" customHeight="1" x14ac:dyDescent="0.3"/>
    <row r="176" s="86" customFormat="1" ht="15.75" customHeight="1" x14ac:dyDescent="0.3"/>
    <row r="177" s="86" customFormat="1" ht="15.75" customHeight="1" x14ac:dyDescent="0.3"/>
    <row r="178" s="86" customFormat="1" ht="15.75" customHeight="1" x14ac:dyDescent="0.3"/>
    <row r="179" s="86" customFormat="1" ht="15.75" customHeight="1" x14ac:dyDescent="0.3"/>
    <row r="180" s="86" customFormat="1" ht="15.75" customHeight="1" x14ac:dyDescent="0.3"/>
    <row r="181" s="86" customFormat="1" ht="15.75" customHeight="1" x14ac:dyDescent="0.3"/>
    <row r="182" s="86" customFormat="1" ht="15.75" customHeight="1" x14ac:dyDescent="0.3"/>
    <row r="183" s="86" customFormat="1" ht="15.75" customHeight="1" x14ac:dyDescent="0.3"/>
    <row r="184" s="86" customFormat="1" ht="15.75" customHeight="1" x14ac:dyDescent="0.3"/>
    <row r="185" s="86" customFormat="1" ht="15.75" customHeight="1" x14ac:dyDescent="0.3"/>
    <row r="186" s="86" customFormat="1" ht="15.75" customHeight="1" x14ac:dyDescent="0.3"/>
    <row r="187" s="86" customFormat="1" ht="15.75" customHeight="1" x14ac:dyDescent="0.3"/>
    <row r="188" s="86" customFormat="1" ht="15.75" customHeight="1" x14ac:dyDescent="0.3"/>
    <row r="189" s="86" customFormat="1" ht="15.75" customHeight="1" x14ac:dyDescent="0.3"/>
    <row r="190" s="86" customFormat="1" ht="15.75" customHeight="1" x14ac:dyDescent="0.3"/>
    <row r="191" s="86" customFormat="1" ht="15.75" customHeight="1" x14ac:dyDescent="0.3"/>
    <row r="192" s="86" customFormat="1" ht="15.75" customHeight="1" x14ac:dyDescent="0.3"/>
    <row r="193" s="86" customFormat="1" ht="15.75" customHeight="1" x14ac:dyDescent="0.3"/>
    <row r="194" s="86" customFormat="1" ht="15.75" customHeight="1" x14ac:dyDescent="0.3"/>
    <row r="195" s="86" customFormat="1" ht="15.75" customHeight="1" x14ac:dyDescent="0.3"/>
    <row r="196" s="86" customFormat="1" ht="15.75" customHeight="1" x14ac:dyDescent="0.3"/>
    <row r="197" s="86" customFormat="1" ht="15.75" customHeight="1" x14ac:dyDescent="0.3"/>
    <row r="198" s="86" customFormat="1" ht="15.75" customHeight="1" x14ac:dyDescent="0.3"/>
    <row r="199" s="86" customFormat="1" ht="15.75" customHeight="1" x14ac:dyDescent="0.3"/>
    <row r="200" s="86" customFormat="1" ht="15.75" customHeight="1" x14ac:dyDescent="0.3"/>
    <row r="201" s="86" customFormat="1" ht="15.75" customHeight="1" x14ac:dyDescent="0.3"/>
    <row r="202" s="86" customFormat="1" ht="15.75" customHeight="1" x14ac:dyDescent="0.3"/>
    <row r="203" s="86" customFormat="1" ht="15.75" customHeight="1" x14ac:dyDescent="0.3"/>
    <row r="204" s="86" customFormat="1" ht="15.75" customHeight="1" x14ac:dyDescent="0.3"/>
    <row r="205" s="86" customFormat="1" ht="15.75" customHeight="1" x14ac:dyDescent="0.3"/>
    <row r="206" s="86" customFormat="1" ht="15.75" customHeight="1" x14ac:dyDescent="0.3"/>
    <row r="207" s="86" customFormat="1" ht="15.75" customHeight="1" x14ac:dyDescent="0.3"/>
    <row r="208" s="86" customFormat="1" ht="15.75" customHeight="1" x14ac:dyDescent="0.3"/>
    <row r="209" s="86" customFormat="1" ht="15.75" customHeight="1" x14ac:dyDescent="0.3"/>
    <row r="210" s="86" customFormat="1" ht="15.75" customHeight="1" x14ac:dyDescent="0.3"/>
    <row r="211" s="86" customFormat="1" ht="15.75" customHeight="1" x14ac:dyDescent="0.3"/>
    <row r="212" s="86" customFormat="1" ht="15.75" customHeight="1" x14ac:dyDescent="0.3"/>
    <row r="213" s="86" customFormat="1" ht="15.75" customHeight="1" x14ac:dyDescent="0.3"/>
    <row r="214" s="86" customFormat="1" ht="15.75" customHeight="1" x14ac:dyDescent="0.3"/>
    <row r="215" s="86" customFormat="1" ht="15.75" customHeight="1" x14ac:dyDescent="0.3"/>
    <row r="216" s="86" customFormat="1" ht="15.75" customHeight="1" x14ac:dyDescent="0.3"/>
    <row r="217" s="86" customFormat="1" ht="15.75" customHeight="1" x14ac:dyDescent="0.3"/>
    <row r="218" s="86" customFormat="1" ht="15.75" customHeight="1" x14ac:dyDescent="0.3"/>
    <row r="219" s="86" customFormat="1" ht="15.75" customHeight="1" x14ac:dyDescent="0.3"/>
    <row r="220" s="86" customFormat="1" ht="15.75" customHeight="1" x14ac:dyDescent="0.3"/>
    <row r="221" s="86" customFormat="1" ht="15.75" customHeight="1" x14ac:dyDescent="0.3"/>
    <row r="222" s="86" customFormat="1" ht="15.75" customHeight="1" x14ac:dyDescent="0.3"/>
    <row r="223" s="86" customFormat="1" ht="15.75" customHeight="1" x14ac:dyDescent="0.3"/>
    <row r="224" s="86" customFormat="1" ht="15.75" customHeight="1" x14ac:dyDescent="0.3"/>
    <row r="225" s="86" customFormat="1" ht="15.75" customHeight="1" x14ac:dyDescent="0.3"/>
    <row r="226" s="86" customFormat="1" ht="15.75" customHeight="1" x14ac:dyDescent="0.3"/>
    <row r="227" s="86" customFormat="1" ht="15.75" customHeight="1" x14ac:dyDescent="0.3"/>
    <row r="228" s="86" customFormat="1" ht="15.75" customHeight="1" x14ac:dyDescent="0.3"/>
    <row r="229" s="86" customFormat="1" ht="15.75" customHeight="1" x14ac:dyDescent="0.3"/>
    <row r="230" s="86" customFormat="1" ht="15.75" customHeight="1" x14ac:dyDescent="0.3"/>
    <row r="231" s="86" customFormat="1" ht="15.75" customHeight="1" x14ac:dyDescent="0.3"/>
    <row r="232" s="86" customFormat="1" ht="15.75" customHeight="1" x14ac:dyDescent="0.3"/>
    <row r="233" s="86" customFormat="1" ht="15.75" customHeight="1" x14ac:dyDescent="0.3"/>
    <row r="234" s="86" customFormat="1" ht="15.75" customHeight="1" x14ac:dyDescent="0.3"/>
    <row r="235" s="86" customFormat="1" ht="15.75" customHeight="1" x14ac:dyDescent="0.3"/>
    <row r="236" s="86" customFormat="1" ht="15.75" customHeight="1" x14ac:dyDescent="0.3"/>
    <row r="237" s="86" customFormat="1" ht="15.75" customHeight="1" x14ac:dyDescent="0.3"/>
    <row r="238" s="86" customFormat="1" ht="15.75" customHeight="1" x14ac:dyDescent="0.3"/>
    <row r="239" s="86" customFormat="1" ht="15.75" customHeight="1" x14ac:dyDescent="0.3"/>
    <row r="240" s="86" customFormat="1" ht="15.75" customHeight="1" x14ac:dyDescent="0.3"/>
    <row r="241" s="86" customFormat="1" ht="15.75" customHeight="1" x14ac:dyDescent="0.3"/>
    <row r="242" s="86" customFormat="1" ht="15.75" customHeight="1" x14ac:dyDescent="0.3"/>
    <row r="243" s="86" customFormat="1" ht="15.75" customHeight="1" x14ac:dyDescent="0.3"/>
    <row r="244" s="86" customFormat="1" ht="15.75" customHeight="1" x14ac:dyDescent="0.3"/>
    <row r="245" s="86" customFormat="1" ht="15.75" customHeight="1" x14ac:dyDescent="0.3"/>
    <row r="246" s="86" customFormat="1" ht="15.75" customHeight="1" x14ac:dyDescent="0.3"/>
    <row r="247" s="86" customFormat="1" ht="15.75" customHeight="1" x14ac:dyDescent="0.3"/>
    <row r="248" s="86" customFormat="1" ht="15.75" customHeight="1" x14ac:dyDescent="0.3"/>
    <row r="249" s="86" customFormat="1" ht="15.75" customHeight="1" x14ac:dyDescent="0.3"/>
    <row r="250" s="86" customFormat="1" ht="15.75" customHeight="1" x14ac:dyDescent="0.3"/>
    <row r="251" s="86" customFormat="1" ht="15.75" customHeight="1" x14ac:dyDescent="0.3"/>
    <row r="252" s="86" customFormat="1" ht="15.75" customHeight="1" x14ac:dyDescent="0.3"/>
    <row r="253" s="86" customFormat="1" ht="15.75" customHeight="1" x14ac:dyDescent="0.3"/>
    <row r="254" s="86" customFormat="1" ht="15.75" customHeight="1" x14ac:dyDescent="0.3"/>
    <row r="255" s="86" customFormat="1" ht="15.75" customHeight="1" x14ac:dyDescent="0.3"/>
    <row r="256" s="86" customFormat="1" ht="15.75" customHeight="1" x14ac:dyDescent="0.3"/>
    <row r="257" s="86" customFormat="1" ht="15.75" customHeight="1" x14ac:dyDescent="0.3"/>
    <row r="258" s="86" customFormat="1" ht="15.75" customHeight="1" x14ac:dyDescent="0.3"/>
    <row r="259" s="86" customFormat="1" ht="15.75" customHeight="1" x14ac:dyDescent="0.3"/>
    <row r="260" s="86" customFormat="1" ht="15.75" customHeight="1" x14ac:dyDescent="0.3"/>
    <row r="261" s="86" customFormat="1" ht="15.75" customHeight="1" x14ac:dyDescent="0.3"/>
    <row r="262" s="86" customFormat="1" ht="15.75" customHeight="1" x14ac:dyDescent="0.3"/>
    <row r="263" s="86" customFormat="1" ht="15.75" customHeight="1" x14ac:dyDescent="0.3"/>
    <row r="264" s="86" customFormat="1" ht="15.75" customHeight="1" x14ac:dyDescent="0.3"/>
    <row r="265" s="86" customFormat="1" ht="15.75" customHeight="1" x14ac:dyDescent="0.3"/>
    <row r="266" s="86" customFormat="1" ht="15.75" customHeight="1" x14ac:dyDescent="0.3"/>
    <row r="267" s="86" customFormat="1" ht="15.75" customHeight="1" x14ac:dyDescent="0.3"/>
    <row r="268" s="86" customFormat="1" ht="15.75" customHeight="1" x14ac:dyDescent="0.3"/>
    <row r="269" s="86" customFormat="1" ht="15.75" customHeight="1" x14ac:dyDescent="0.3"/>
    <row r="270" s="86" customFormat="1" ht="15.75" customHeight="1" x14ac:dyDescent="0.3"/>
    <row r="271" s="86" customFormat="1" ht="15.75" customHeight="1" x14ac:dyDescent="0.3"/>
    <row r="272" s="86" customFormat="1" ht="15.75" customHeight="1" x14ac:dyDescent="0.3"/>
    <row r="273" s="86" customFormat="1" ht="15.75" customHeight="1" x14ac:dyDescent="0.3"/>
    <row r="274" s="86" customFormat="1" ht="15.75" customHeight="1" x14ac:dyDescent="0.3"/>
    <row r="275" s="86" customFormat="1" ht="15.75" customHeight="1" x14ac:dyDescent="0.3"/>
    <row r="276" s="86" customFormat="1" ht="15.75" customHeight="1" x14ac:dyDescent="0.3"/>
    <row r="277" s="86" customFormat="1" ht="15.75" customHeight="1" x14ac:dyDescent="0.3"/>
    <row r="278" s="86" customFormat="1" ht="15.75" customHeight="1" x14ac:dyDescent="0.3"/>
    <row r="279" s="86" customFormat="1" ht="15.75" customHeight="1" x14ac:dyDescent="0.3"/>
    <row r="280" s="86" customFormat="1" ht="15.75" customHeight="1" x14ac:dyDescent="0.3"/>
    <row r="281" s="86" customFormat="1" ht="15.75" customHeight="1" x14ac:dyDescent="0.3"/>
    <row r="282" s="86" customFormat="1" ht="15.75" customHeight="1" x14ac:dyDescent="0.3"/>
    <row r="283" s="86" customFormat="1" ht="15.75" customHeight="1" x14ac:dyDescent="0.3"/>
    <row r="284" s="86" customFormat="1" ht="15.75" customHeight="1" x14ac:dyDescent="0.3"/>
    <row r="285" s="86" customFormat="1" ht="15.75" customHeight="1" x14ac:dyDescent="0.3"/>
    <row r="286" s="86" customFormat="1" ht="15.75" customHeight="1" x14ac:dyDescent="0.3"/>
    <row r="287" s="86" customFormat="1" ht="15.75" customHeight="1" x14ac:dyDescent="0.3"/>
    <row r="288" s="86" customFormat="1" ht="15.75" customHeight="1" x14ac:dyDescent="0.3"/>
    <row r="289" s="86" customFormat="1" ht="15.75" customHeight="1" x14ac:dyDescent="0.3"/>
    <row r="290" s="86" customFormat="1" ht="15.75" customHeight="1" x14ac:dyDescent="0.3"/>
    <row r="291" s="86" customFormat="1" ht="15.75" customHeight="1" x14ac:dyDescent="0.3"/>
    <row r="292" s="86" customFormat="1" ht="15.75" customHeight="1" x14ac:dyDescent="0.3"/>
    <row r="293" s="86" customFormat="1" ht="15.75" customHeight="1" x14ac:dyDescent="0.3"/>
    <row r="294" s="86" customFormat="1" ht="15.75" customHeight="1" x14ac:dyDescent="0.3"/>
    <row r="295" s="86" customFormat="1" ht="15.75" customHeight="1" x14ac:dyDescent="0.3"/>
    <row r="296" s="86" customFormat="1" ht="15.75" customHeight="1" x14ac:dyDescent="0.3"/>
    <row r="297" s="86" customFormat="1" ht="15.75" customHeight="1" x14ac:dyDescent="0.3"/>
    <row r="298" s="86" customFormat="1" ht="15.75" customHeight="1" x14ac:dyDescent="0.3"/>
    <row r="299" s="86" customFormat="1" ht="15.75" customHeight="1" x14ac:dyDescent="0.3"/>
    <row r="300" s="86" customFormat="1" ht="15.75" customHeight="1" x14ac:dyDescent="0.3"/>
    <row r="301" s="86" customFormat="1" ht="15.75" customHeight="1" x14ac:dyDescent="0.3"/>
    <row r="302" s="86" customFormat="1" ht="15.75" customHeight="1" x14ac:dyDescent="0.3"/>
    <row r="303" s="86" customFormat="1" ht="15.75" customHeight="1" x14ac:dyDescent="0.3"/>
    <row r="304" s="86" customFormat="1" ht="15.75" customHeight="1" x14ac:dyDescent="0.3"/>
    <row r="305" s="86" customFormat="1" ht="15.75" customHeight="1" x14ac:dyDescent="0.3"/>
    <row r="306" s="86" customFormat="1" ht="15.75" customHeight="1" x14ac:dyDescent="0.3"/>
    <row r="307" s="86" customFormat="1" ht="15.75" customHeight="1" x14ac:dyDescent="0.3"/>
    <row r="308" s="86" customFormat="1" ht="15.75" customHeight="1" x14ac:dyDescent="0.3"/>
    <row r="309" s="86" customFormat="1" ht="15.75" customHeight="1" x14ac:dyDescent="0.3"/>
    <row r="310" s="86" customFormat="1" ht="15.75" customHeight="1" x14ac:dyDescent="0.3"/>
    <row r="311" s="86" customFormat="1" ht="15.75" customHeight="1" x14ac:dyDescent="0.3"/>
    <row r="312" s="86" customFormat="1" ht="15.75" customHeight="1" x14ac:dyDescent="0.3"/>
    <row r="313" s="86" customFormat="1" ht="15.75" customHeight="1" x14ac:dyDescent="0.3"/>
    <row r="314" s="86" customFormat="1" ht="15.75" customHeight="1" x14ac:dyDescent="0.3"/>
    <row r="315" s="86" customFormat="1" ht="15.75" customHeight="1" x14ac:dyDescent="0.3"/>
    <row r="316" s="86" customFormat="1" ht="15.75" customHeight="1" x14ac:dyDescent="0.3"/>
    <row r="317" s="86" customFormat="1" ht="15.75" customHeight="1" x14ac:dyDescent="0.3"/>
    <row r="318" s="86" customFormat="1" ht="15.75" customHeight="1" x14ac:dyDescent="0.3"/>
    <row r="319" s="86" customFormat="1" ht="15.75" customHeight="1" x14ac:dyDescent="0.3"/>
    <row r="320" s="86" customFormat="1" ht="15.75" customHeight="1" x14ac:dyDescent="0.3"/>
    <row r="321" s="86" customFormat="1" ht="15.75" customHeight="1" x14ac:dyDescent="0.3"/>
    <row r="322" s="86" customFormat="1" ht="15.75" customHeight="1" x14ac:dyDescent="0.3"/>
    <row r="323" s="86" customFormat="1" ht="15.75" customHeight="1" x14ac:dyDescent="0.3"/>
    <row r="324" s="86" customFormat="1" ht="15.75" customHeight="1" x14ac:dyDescent="0.3"/>
    <row r="325" s="86" customFormat="1" ht="15.75" customHeight="1" x14ac:dyDescent="0.3"/>
    <row r="326" s="86" customFormat="1" ht="15.75" customHeight="1" x14ac:dyDescent="0.3"/>
    <row r="327" s="86" customFormat="1" ht="15.75" customHeight="1" x14ac:dyDescent="0.3"/>
    <row r="328" s="86" customFormat="1" ht="15.75" customHeight="1" x14ac:dyDescent="0.3"/>
    <row r="329" s="86" customFormat="1" ht="15.75" customHeight="1" x14ac:dyDescent="0.3"/>
    <row r="330" s="86" customFormat="1" ht="15.75" customHeight="1" x14ac:dyDescent="0.3"/>
    <row r="331" s="86" customFormat="1" ht="15.75" customHeight="1" x14ac:dyDescent="0.3"/>
    <row r="332" s="86" customFormat="1" ht="15.75" customHeight="1" x14ac:dyDescent="0.3"/>
    <row r="333" s="86" customFormat="1" ht="15.75" customHeight="1" x14ac:dyDescent="0.3"/>
    <row r="334" s="86" customFormat="1" ht="15.75" customHeight="1" x14ac:dyDescent="0.3"/>
    <row r="335" s="86" customFormat="1" ht="15.75" customHeight="1" x14ac:dyDescent="0.3"/>
    <row r="336" s="86" customFormat="1" ht="15.75" customHeight="1" x14ac:dyDescent="0.3"/>
    <row r="337" s="86" customFormat="1" ht="15.75" customHeight="1" x14ac:dyDescent="0.3"/>
    <row r="338" s="86" customFormat="1" ht="15.75" customHeight="1" x14ac:dyDescent="0.3"/>
    <row r="339" s="86" customFormat="1" ht="15.75" customHeight="1" x14ac:dyDescent="0.3"/>
    <row r="340" s="86" customFormat="1" ht="15.75" customHeight="1" x14ac:dyDescent="0.3"/>
    <row r="341" s="86" customFormat="1" ht="15.75" customHeight="1" x14ac:dyDescent="0.3"/>
    <row r="342" s="86" customFormat="1" ht="15.75" customHeight="1" x14ac:dyDescent="0.3"/>
    <row r="343" s="86" customFormat="1" ht="15.75" customHeight="1" x14ac:dyDescent="0.3"/>
    <row r="344" s="86" customFormat="1" ht="15.75" customHeight="1" x14ac:dyDescent="0.3"/>
    <row r="345" s="86" customFormat="1" ht="15.75" customHeight="1" x14ac:dyDescent="0.3"/>
    <row r="346" s="86" customFormat="1" ht="15.75" customHeight="1" x14ac:dyDescent="0.3"/>
    <row r="347" s="86" customFormat="1" ht="15.75" customHeight="1" x14ac:dyDescent="0.3"/>
    <row r="348" s="86" customFormat="1" ht="15.75" customHeight="1" x14ac:dyDescent="0.3"/>
    <row r="349" s="86" customFormat="1" ht="15.75" customHeight="1" x14ac:dyDescent="0.3"/>
    <row r="350" s="86" customFormat="1" ht="15.75" customHeight="1" x14ac:dyDescent="0.3"/>
    <row r="351" s="86" customFormat="1" ht="15.75" customHeight="1" x14ac:dyDescent="0.3"/>
    <row r="352" s="86" customFormat="1" ht="15.75" customHeight="1" x14ac:dyDescent="0.3"/>
    <row r="353" s="86" customFormat="1" ht="15.75" customHeight="1" x14ac:dyDescent="0.3"/>
    <row r="354" s="86" customFormat="1" ht="15.75" customHeight="1" x14ac:dyDescent="0.3"/>
    <row r="355" s="86" customFormat="1" ht="15.75" customHeight="1" x14ac:dyDescent="0.3"/>
    <row r="356" s="86" customFormat="1" ht="15.75" customHeight="1" x14ac:dyDescent="0.3"/>
    <row r="357" s="86" customFormat="1" ht="15.75" customHeight="1" x14ac:dyDescent="0.3"/>
    <row r="358" s="86" customFormat="1" ht="15.75" customHeight="1" x14ac:dyDescent="0.3"/>
    <row r="359" s="86" customFormat="1" ht="15.75" customHeight="1" x14ac:dyDescent="0.3"/>
    <row r="360" s="86" customFormat="1" ht="15.75" customHeight="1" x14ac:dyDescent="0.3"/>
    <row r="361" s="86" customFormat="1" ht="15.75" customHeight="1" x14ac:dyDescent="0.3"/>
    <row r="362" s="86" customFormat="1" ht="15.75" customHeight="1" x14ac:dyDescent="0.3"/>
    <row r="363" s="86" customFormat="1" ht="15.75" customHeight="1" x14ac:dyDescent="0.3"/>
    <row r="364" s="86" customFormat="1" ht="15.75" customHeight="1" x14ac:dyDescent="0.3"/>
    <row r="365" s="86" customFormat="1" ht="15.75" customHeight="1" x14ac:dyDescent="0.3"/>
    <row r="366" s="86" customFormat="1" ht="15.75" customHeight="1" x14ac:dyDescent="0.3"/>
    <row r="367" s="86" customFormat="1" ht="15.75" customHeight="1" x14ac:dyDescent="0.3"/>
    <row r="368" s="86" customFormat="1" ht="15.75" customHeight="1" x14ac:dyDescent="0.3"/>
    <row r="369" s="86" customFormat="1" ht="15.75" customHeight="1" x14ac:dyDescent="0.3"/>
    <row r="370" s="86" customFormat="1" ht="15.75" customHeight="1" x14ac:dyDescent="0.3"/>
    <row r="371" s="86" customFormat="1" ht="15.75" customHeight="1" x14ac:dyDescent="0.3"/>
    <row r="372" s="86" customFormat="1" ht="15.75" customHeight="1" x14ac:dyDescent="0.3"/>
    <row r="373" s="86" customFormat="1" ht="15.75" customHeight="1" x14ac:dyDescent="0.3"/>
    <row r="374" s="86" customFormat="1" ht="15.75" customHeight="1" x14ac:dyDescent="0.3"/>
    <row r="375" s="86" customFormat="1" ht="15.75" customHeight="1" x14ac:dyDescent="0.3"/>
    <row r="376" s="86" customFormat="1" ht="15.75" customHeight="1" x14ac:dyDescent="0.3"/>
    <row r="377" s="86" customFormat="1" ht="15.75" customHeight="1" x14ac:dyDescent="0.3"/>
    <row r="378" s="86" customFormat="1" ht="15.75" customHeight="1" x14ac:dyDescent="0.3"/>
    <row r="379" s="86" customFormat="1" ht="15.75" customHeight="1" x14ac:dyDescent="0.3"/>
    <row r="380" s="86" customFormat="1" ht="15.75" customHeight="1" x14ac:dyDescent="0.3"/>
    <row r="381" s="86" customFormat="1" ht="15.75" customHeight="1" x14ac:dyDescent="0.3"/>
    <row r="382" s="86" customFormat="1" ht="15.75" customHeight="1" x14ac:dyDescent="0.3"/>
    <row r="383" s="86" customFormat="1" ht="15.75" customHeight="1" x14ac:dyDescent="0.3"/>
    <row r="384" s="86" customFormat="1" ht="15.75" customHeight="1" x14ac:dyDescent="0.3"/>
    <row r="385" s="86" customFormat="1" ht="15.75" customHeight="1" x14ac:dyDescent="0.3"/>
    <row r="386" s="86" customFormat="1" ht="15.75" customHeight="1" x14ac:dyDescent="0.3"/>
    <row r="387" s="86" customFormat="1" ht="15.75" customHeight="1" x14ac:dyDescent="0.3"/>
    <row r="388" s="86" customFormat="1" ht="15.75" customHeight="1" x14ac:dyDescent="0.3"/>
    <row r="389" s="86" customFormat="1" ht="15.75" customHeight="1" x14ac:dyDescent="0.3"/>
    <row r="390" s="86" customFormat="1" ht="15.75" customHeight="1" x14ac:dyDescent="0.3"/>
    <row r="391" s="86" customFormat="1" ht="15.75" customHeight="1" x14ac:dyDescent="0.3"/>
    <row r="392" s="86" customFormat="1" ht="15.75" customHeight="1" x14ac:dyDescent="0.3"/>
    <row r="393" s="86" customFormat="1" ht="15.75" customHeight="1" x14ac:dyDescent="0.3"/>
    <row r="394" s="86" customFormat="1" ht="15.75" customHeight="1" x14ac:dyDescent="0.3"/>
    <row r="395" s="86" customFormat="1" ht="15.75" customHeight="1" x14ac:dyDescent="0.3"/>
    <row r="396" s="86" customFormat="1" ht="15.75" customHeight="1" x14ac:dyDescent="0.3"/>
    <row r="397" s="86" customFormat="1" ht="15.75" customHeight="1" x14ac:dyDescent="0.3"/>
    <row r="398" s="86" customFormat="1" ht="15.75" customHeight="1" x14ac:dyDescent="0.3"/>
    <row r="399" s="86" customFormat="1" ht="15.75" customHeight="1" x14ac:dyDescent="0.3"/>
    <row r="400" s="86" customFormat="1" ht="15.75" customHeight="1" x14ac:dyDescent="0.3"/>
    <row r="401" s="86" customFormat="1" ht="15.75" customHeight="1" x14ac:dyDescent="0.3"/>
    <row r="402" s="86" customFormat="1" ht="15.75" customHeight="1" x14ac:dyDescent="0.3"/>
    <row r="403" s="86" customFormat="1" ht="15.75" customHeight="1" x14ac:dyDescent="0.3"/>
    <row r="404" s="86" customFormat="1" ht="15.75" customHeight="1" x14ac:dyDescent="0.3"/>
    <row r="405" s="86" customFormat="1" ht="15.75" customHeight="1" x14ac:dyDescent="0.3"/>
    <row r="406" s="86" customFormat="1" ht="15.75" customHeight="1" x14ac:dyDescent="0.3"/>
    <row r="407" s="86" customFormat="1" ht="15.75" customHeight="1" x14ac:dyDescent="0.3"/>
    <row r="408" s="86" customFormat="1" ht="15.75" customHeight="1" x14ac:dyDescent="0.3"/>
    <row r="409" s="86" customFormat="1" ht="15.75" customHeight="1" x14ac:dyDescent="0.3"/>
    <row r="410" s="86" customFormat="1" ht="15.75" customHeight="1" x14ac:dyDescent="0.3"/>
    <row r="411" s="86" customFormat="1" ht="15.75" customHeight="1" x14ac:dyDescent="0.3"/>
    <row r="412" s="86" customFormat="1" ht="15.75" customHeight="1" x14ac:dyDescent="0.3"/>
    <row r="413" s="86" customFormat="1" ht="15.75" customHeight="1" x14ac:dyDescent="0.3"/>
    <row r="414" s="86" customFormat="1" ht="15.75" customHeight="1" x14ac:dyDescent="0.3"/>
    <row r="415" s="86" customFormat="1" ht="15.75" customHeight="1" x14ac:dyDescent="0.3"/>
    <row r="416" s="86" customFormat="1" ht="15.75" customHeight="1" x14ac:dyDescent="0.3"/>
    <row r="417" s="86" customFormat="1" ht="15.75" customHeight="1" x14ac:dyDescent="0.3"/>
    <row r="418" s="86" customFormat="1" ht="15.75" customHeight="1" x14ac:dyDescent="0.3"/>
    <row r="419" s="86" customFormat="1" ht="15.75" customHeight="1" x14ac:dyDescent="0.3"/>
    <row r="420" s="86" customFormat="1" ht="15.75" customHeight="1" x14ac:dyDescent="0.3"/>
    <row r="421" s="86" customFormat="1" ht="15.75" customHeight="1" x14ac:dyDescent="0.3"/>
    <row r="422" s="86" customFormat="1" ht="15.75" customHeight="1" x14ac:dyDescent="0.3"/>
    <row r="423" s="86" customFormat="1" ht="15.75" customHeight="1" x14ac:dyDescent="0.3"/>
    <row r="424" s="86" customFormat="1" ht="15.75" customHeight="1" x14ac:dyDescent="0.3"/>
    <row r="425" s="86" customFormat="1" ht="15.75" customHeight="1" x14ac:dyDescent="0.3"/>
    <row r="426" s="86" customFormat="1" ht="15.75" customHeight="1" x14ac:dyDescent="0.3"/>
    <row r="427" s="86" customFormat="1" ht="15.75" customHeight="1" x14ac:dyDescent="0.3"/>
    <row r="428" s="86" customFormat="1" ht="15.75" customHeight="1" x14ac:dyDescent="0.3"/>
    <row r="429" s="86" customFormat="1" ht="15.75" customHeight="1" x14ac:dyDescent="0.3"/>
    <row r="430" s="86" customFormat="1" ht="15.75" customHeight="1" x14ac:dyDescent="0.3"/>
    <row r="431" s="86" customFormat="1" ht="15.75" customHeight="1" x14ac:dyDescent="0.3"/>
    <row r="432" s="86" customFormat="1" ht="15.75" customHeight="1" x14ac:dyDescent="0.3"/>
    <row r="433" s="86" customFormat="1" ht="15.75" customHeight="1" x14ac:dyDescent="0.3"/>
    <row r="434" s="86" customFormat="1" ht="15.75" customHeight="1" x14ac:dyDescent="0.3"/>
    <row r="435" s="86" customFormat="1" ht="15.75" customHeight="1" x14ac:dyDescent="0.3"/>
    <row r="436" s="86" customFormat="1" ht="15.75" customHeight="1" x14ac:dyDescent="0.3"/>
    <row r="437" s="86" customFormat="1" ht="15.75" customHeight="1" x14ac:dyDescent="0.3"/>
    <row r="438" s="86" customFormat="1" ht="15.75" customHeight="1" x14ac:dyDescent="0.3"/>
    <row r="439" s="86" customFormat="1" ht="15.75" customHeight="1" x14ac:dyDescent="0.3"/>
    <row r="440" s="86" customFormat="1" ht="15.75" customHeight="1" x14ac:dyDescent="0.3"/>
    <row r="441" s="86" customFormat="1" ht="15.75" customHeight="1" x14ac:dyDescent="0.3"/>
    <row r="442" s="86" customFormat="1" ht="15.75" customHeight="1" x14ac:dyDescent="0.3"/>
    <row r="443" s="86" customFormat="1" ht="15.75" customHeight="1" x14ac:dyDescent="0.3"/>
    <row r="444" s="86" customFormat="1" ht="15.75" customHeight="1" x14ac:dyDescent="0.3"/>
    <row r="445" s="86" customFormat="1" ht="15.75" customHeight="1" x14ac:dyDescent="0.3"/>
    <row r="446" s="86" customFormat="1" ht="15.75" customHeight="1" x14ac:dyDescent="0.3"/>
    <row r="447" s="86" customFormat="1" ht="15.75" customHeight="1" x14ac:dyDescent="0.3"/>
    <row r="448" s="86" customFormat="1" ht="15.75" customHeight="1" x14ac:dyDescent="0.3"/>
    <row r="449" s="86" customFormat="1" ht="15.75" customHeight="1" x14ac:dyDescent="0.3"/>
    <row r="450" s="86" customFormat="1" ht="15.75" customHeight="1" x14ac:dyDescent="0.3"/>
    <row r="451" s="86" customFormat="1" ht="15.75" customHeight="1" x14ac:dyDescent="0.3"/>
    <row r="452" s="86" customFormat="1" ht="15.75" customHeight="1" x14ac:dyDescent="0.3"/>
    <row r="453" s="86" customFormat="1" ht="15.75" customHeight="1" x14ac:dyDescent="0.3"/>
    <row r="454" s="86" customFormat="1" ht="15.75" customHeight="1" x14ac:dyDescent="0.3"/>
    <row r="455" s="86" customFormat="1" ht="15.75" customHeight="1" x14ac:dyDescent="0.3"/>
    <row r="456" s="86" customFormat="1" ht="15.75" customHeight="1" x14ac:dyDescent="0.3"/>
    <row r="457" s="86" customFormat="1" ht="15.75" customHeight="1" x14ac:dyDescent="0.3"/>
    <row r="458" s="86" customFormat="1" ht="15.75" customHeight="1" x14ac:dyDescent="0.3"/>
    <row r="459" s="86" customFormat="1" ht="15.75" customHeight="1" x14ac:dyDescent="0.3"/>
    <row r="460" s="86" customFormat="1" ht="15.75" customHeight="1" x14ac:dyDescent="0.3"/>
    <row r="461" s="86" customFormat="1" ht="15.75" customHeight="1" x14ac:dyDescent="0.3"/>
    <row r="462" s="86" customFormat="1" ht="15.75" customHeight="1" x14ac:dyDescent="0.3"/>
    <row r="463" s="86" customFormat="1" ht="15.75" customHeight="1" x14ac:dyDescent="0.3"/>
    <row r="464" s="86" customFormat="1" ht="15.75" customHeight="1" x14ac:dyDescent="0.3"/>
    <row r="465" s="86" customFormat="1" ht="15.75" customHeight="1" x14ac:dyDescent="0.3"/>
    <row r="466" s="86" customFormat="1" ht="15.75" customHeight="1" x14ac:dyDescent="0.3"/>
    <row r="467" s="86" customFormat="1" ht="15.75" customHeight="1" x14ac:dyDescent="0.3"/>
    <row r="468" s="86" customFormat="1" ht="15.75" customHeight="1" x14ac:dyDescent="0.3"/>
    <row r="469" s="86" customFormat="1" ht="15.75" customHeight="1" x14ac:dyDescent="0.3"/>
    <row r="470" s="86" customFormat="1" ht="15.75" customHeight="1" x14ac:dyDescent="0.3"/>
    <row r="471" s="86" customFormat="1" ht="15.75" customHeight="1" x14ac:dyDescent="0.3"/>
    <row r="472" s="86" customFormat="1" ht="15.75" customHeight="1" x14ac:dyDescent="0.3"/>
    <row r="473" s="86" customFormat="1" ht="15.75" customHeight="1" x14ac:dyDescent="0.3"/>
    <row r="474" s="86" customFormat="1" ht="15.75" customHeight="1" x14ac:dyDescent="0.3"/>
    <row r="475" s="86" customFormat="1" ht="15.75" customHeight="1" x14ac:dyDescent="0.3"/>
    <row r="476" s="86" customFormat="1" ht="15.75" customHeight="1" x14ac:dyDescent="0.3"/>
    <row r="477" s="86" customFormat="1" ht="15.75" customHeight="1" x14ac:dyDescent="0.3"/>
    <row r="478" s="86" customFormat="1" ht="15.75" customHeight="1" x14ac:dyDescent="0.3"/>
    <row r="479" s="86" customFormat="1" ht="15.75" customHeight="1" x14ac:dyDescent="0.3"/>
    <row r="480" s="86" customFormat="1" ht="15.75" customHeight="1" x14ac:dyDescent="0.3"/>
    <row r="481" s="86" customFormat="1" ht="15.75" customHeight="1" x14ac:dyDescent="0.3"/>
    <row r="482" s="86" customFormat="1" ht="15.75" customHeight="1" x14ac:dyDescent="0.3"/>
    <row r="483" s="86" customFormat="1" ht="15.75" customHeight="1" x14ac:dyDescent="0.3"/>
    <row r="484" s="86" customFormat="1" ht="15.75" customHeight="1" x14ac:dyDescent="0.3"/>
    <row r="485" s="86" customFormat="1" ht="15.75" customHeight="1" x14ac:dyDescent="0.3"/>
    <row r="486" s="86" customFormat="1" ht="15.75" customHeight="1" x14ac:dyDescent="0.3"/>
    <row r="487" s="86" customFormat="1" ht="15.75" customHeight="1" x14ac:dyDescent="0.3"/>
    <row r="488" s="86" customFormat="1" ht="15.75" customHeight="1" x14ac:dyDescent="0.3"/>
    <row r="489" s="86" customFormat="1" ht="15.75" customHeight="1" x14ac:dyDescent="0.3"/>
    <row r="490" s="86" customFormat="1" ht="15.75" customHeight="1" x14ac:dyDescent="0.3"/>
    <row r="491" s="86" customFormat="1" ht="15.75" customHeight="1" x14ac:dyDescent="0.3"/>
    <row r="492" s="86" customFormat="1" ht="15.75" customHeight="1" x14ac:dyDescent="0.3"/>
    <row r="493" s="86" customFormat="1" ht="15.75" customHeight="1" x14ac:dyDescent="0.3"/>
    <row r="494" s="86" customFormat="1" ht="15.75" customHeight="1" x14ac:dyDescent="0.3"/>
    <row r="495" s="86" customFormat="1" ht="15.75" customHeight="1" x14ac:dyDescent="0.3"/>
    <row r="496" s="86" customFormat="1" ht="15.75" customHeight="1" x14ac:dyDescent="0.3"/>
    <row r="497" s="86" customFormat="1" ht="15.75" customHeight="1" x14ac:dyDescent="0.3"/>
    <row r="498" s="86" customFormat="1" ht="15.75" customHeight="1" x14ac:dyDescent="0.3"/>
    <row r="499" s="86" customFormat="1" ht="15.75" customHeight="1" x14ac:dyDescent="0.3"/>
    <row r="500" s="86" customFormat="1" ht="15.75" customHeight="1" x14ac:dyDescent="0.3"/>
    <row r="501" s="86" customFormat="1" ht="15.75" customHeight="1" x14ac:dyDescent="0.3"/>
    <row r="502" s="86" customFormat="1" ht="15.75" customHeight="1" x14ac:dyDescent="0.3"/>
    <row r="503" s="86" customFormat="1" ht="15.75" customHeight="1" x14ac:dyDescent="0.3"/>
    <row r="504" s="86" customFormat="1" ht="15.75" customHeight="1" x14ac:dyDescent="0.3"/>
    <row r="505" s="86" customFormat="1" ht="15.75" customHeight="1" x14ac:dyDescent="0.3"/>
    <row r="506" s="86" customFormat="1" ht="15.75" customHeight="1" x14ac:dyDescent="0.3"/>
    <row r="507" s="86" customFormat="1" ht="15.75" customHeight="1" x14ac:dyDescent="0.3"/>
    <row r="508" s="86" customFormat="1" ht="15.75" customHeight="1" x14ac:dyDescent="0.3"/>
    <row r="509" s="86" customFormat="1" ht="15.75" customHeight="1" x14ac:dyDescent="0.3"/>
    <row r="510" s="86" customFormat="1" ht="15.75" customHeight="1" x14ac:dyDescent="0.3"/>
    <row r="511" s="86" customFormat="1" ht="15.75" customHeight="1" x14ac:dyDescent="0.3"/>
    <row r="512" s="86" customFormat="1" ht="15.75" customHeight="1" x14ac:dyDescent="0.3"/>
    <row r="513" s="86" customFormat="1" ht="15.75" customHeight="1" x14ac:dyDescent="0.3"/>
    <row r="514" s="86" customFormat="1" ht="15.75" customHeight="1" x14ac:dyDescent="0.3"/>
    <row r="515" s="86" customFormat="1" ht="15.75" customHeight="1" x14ac:dyDescent="0.3"/>
    <row r="516" s="86" customFormat="1" ht="15.75" customHeight="1" x14ac:dyDescent="0.3"/>
    <row r="517" s="86" customFormat="1" ht="15.75" customHeight="1" x14ac:dyDescent="0.3"/>
    <row r="518" s="86" customFormat="1" ht="15.75" customHeight="1" x14ac:dyDescent="0.3"/>
    <row r="519" s="86" customFormat="1" ht="15.75" customHeight="1" x14ac:dyDescent="0.3"/>
    <row r="520" s="86" customFormat="1" ht="15.75" customHeight="1" x14ac:dyDescent="0.3"/>
    <row r="521" s="86" customFormat="1" ht="15.75" customHeight="1" x14ac:dyDescent="0.3"/>
    <row r="522" s="86" customFormat="1" ht="15.75" customHeight="1" x14ac:dyDescent="0.3"/>
    <row r="523" s="86" customFormat="1" ht="15.75" customHeight="1" x14ac:dyDescent="0.3"/>
    <row r="524" s="86" customFormat="1" ht="15.75" customHeight="1" x14ac:dyDescent="0.3"/>
    <row r="525" s="86" customFormat="1" ht="15.75" customHeight="1" x14ac:dyDescent="0.3"/>
    <row r="526" s="86" customFormat="1" ht="15.75" customHeight="1" x14ac:dyDescent="0.3"/>
    <row r="527" s="86" customFormat="1" ht="15.75" customHeight="1" x14ac:dyDescent="0.3"/>
    <row r="528" s="86" customFormat="1" ht="15.75" customHeight="1" x14ac:dyDescent="0.3"/>
    <row r="529" s="86" customFormat="1" ht="15.75" customHeight="1" x14ac:dyDescent="0.3"/>
    <row r="530" s="86" customFormat="1" ht="15.75" customHeight="1" x14ac:dyDescent="0.3"/>
    <row r="531" s="86" customFormat="1" ht="15.75" customHeight="1" x14ac:dyDescent="0.3"/>
    <row r="532" s="86" customFormat="1" ht="15.75" customHeight="1" x14ac:dyDescent="0.3"/>
    <row r="533" s="86" customFormat="1" ht="15.75" customHeight="1" x14ac:dyDescent="0.3"/>
    <row r="534" s="86" customFormat="1" ht="15.75" customHeight="1" x14ac:dyDescent="0.3"/>
    <row r="535" s="86" customFormat="1" ht="15.75" customHeight="1" x14ac:dyDescent="0.3"/>
    <row r="536" s="86" customFormat="1" ht="15.75" customHeight="1" x14ac:dyDescent="0.3"/>
    <row r="537" s="86" customFormat="1" ht="15.75" customHeight="1" x14ac:dyDescent="0.3"/>
    <row r="538" s="86" customFormat="1" ht="15.75" customHeight="1" x14ac:dyDescent="0.3"/>
    <row r="539" s="86" customFormat="1" ht="15.75" customHeight="1" x14ac:dyDescent="0.3"/>
    <row r="540" s="86" customFormat="1" ht="15.75" customHeight="1" x14ac:dyDescent="0.3"/>
    <row r="541" s="86" customFormat="1" ht="15.75" customHeight="1" x14ac:dyDescent="0.3"/>
    <row r="542" s="86" customFormat="1" ht="15.75" customHeight="1" x14ac:dyDescent="0.3"/>
    <row r="543" s="86" customFormat="1" ht="15.75" customHeight="1" x14ac:dyDescent="0.3"/>
    <row r="544" s="86" customFormat="1" ht="15.75" customHeight="1" x14ac:dyDescent="0.3"/>
    <row r="545" s="86" customFormat="1" ht="15.75" customHeight="1" x14ac:dyDescent="0.3"/>
    <row r="546" s="86" customFormat="1" ht="15.75" customHeight="1" x14ac:dyDescent="0.3"/>
    <row r="547" s="86" customFormat="1" ht="15.75" customHeight="1" x14ac:dyDescent="0.3"/>
    <row r="548" s="86" customFormat="1" ht="15.75" customHeight="1" x14ac:dyDescent="0.3"/>
    <row r="549" s="86" customFormat="1" ht="15.75" customHeight="1" x14ac:dyDescent="0.3"/>
    <row r="550" s="86" customFormat="1" ht="15.75" customHeight="1" x14ac:dyDescent="0.3"/>
    <row r="551" s="86" customFormat="1" ht="15.75" customHeight="1" x14ac:dyDescent="0.3"/>
    <row r="552" s="86" customFormat="1" ht="15.75" customHeight="1" x14ac:dyDescent="0.3"/>
    <row r="553" s="86" customFormat="1" ht="15.75" customHeight="1" x14ac:dyDescent="0.3"/>
    <row r="554" s="86" customFormat="1" ht="15.75" customHeight="1" x14ac:dyDescent="0.3"/>
    <row r="555" s="86" customFormat="1" ht="15.75" customHeight="1" x14ac:dyDescent="0.3"/>
    <row r="556" s="86" customFormat="1" ht="15.75" customHeight="1" x14ac:dyDescent="0.3"/>
    <row r="557" s="86" customFormat="1" ht="15.75" customHeight="1" x14ac:dyDescent="0.3"/>
    <row r="558" s="86" customFormat="1" ht="15.75" customHeight="1" x14ac:dyDescent="0.3"/>
    <row r="559" s="86" customFormat="1" ht="15.75" customHeight="1" x14ac:dyDescent="0.3"/>
    <row r="560" s="86" customFormat="1" ht="15.75" customHeight="1" x14ac:dyDescent="0.3"/>
    <row r="561" s="86" customFormat="1" ht="15.75" customHeight="1" x14ac:dyDescent="0.3"/>
    <row r="562" s="86" customFormat="1" ht="15.75" customHeight="1" x14ac:dyDescent="0.3"/>
    <row r="563" s="86" customFormat="1" ht="15.75" customHeight="1" x14ac:dyDescent="0.3"/>
    <row r="564" s="86" customFormat="1" ht="15.75" customHeight="1" x14ac:dyDescent="0.3"/>
    <row r="565" s="86" customFormat="1" ht="15.75" customHeight="1" x14ac:dyDescent="0.3"/>
    <row r="566" s="86" customFormat="1" ht="15.75" customHeight="1" x14ac:dyDescent="0.3"/>
    <row r="567" s="86" customFormat="1" ht="15.75" customHeight="1" x14ac:dyDescent="0.3"/>
    <row r="568" s="86" customFormat="1" ht="15.75" customHeight="1" x14ac:dyDescent="0.3"/>
    <row r="569" s="86" customFormat="1" ht="15.75" customHeight="1" x14ac:dyDescent="0.3"/>
    <row r="570" s="86" customFormat="1" ht="15.75" customHeight="1" x14ac:dyDescent="0.3"/>
    <row r="571" s="86" customFormat="1" ht="15.75" customHeight="1" x14ac:dyDescent="0.3"/>
    <row r="572" s="86" customFormat="1" ht="15.75" customHeight="1" x14ac:dyDescent="0.3"/>
    <row r="573" s="86" customFormat="1" ht="15.75" customHeight="1" x14ac:dyDescent="0.3"/>
    <row r="574" s="86" customFormat="1" ht="15.75" customHeight="1" x14ac:dyDescent="0.3"/>
    <row r="575" s="86" customFormat="1" ht="15.75" customHeight="1" x14ac:dyDescent="0.3"/>
    <row r="576" s="86" customFormat="1" ht="15.75" customHeight="1" x14ac:dyDescent="0.3"/>
    <row r="577" s="86" customFormat="1" ht="15.75" customHeight="1" x14ac:dyDescent="0.3"/>
    <row r="578" s="86" customFormat="1" ht="15.75" customHeight="1" x14ac:dyDescent="0.3"/>
    <row r="579" s="86" customFormat="1" ht="15.75" customHeight="1" x14ac:dyDescent="0.3"/>
    <row r="580" s="86" customFormat="1" ht="15.75" customHeight="1" x14ac:dyDescent="0.3"/>
    <row r="581" s="86" customFormat="1" ht="15.75" customHeight="1" x14ac:dyDescent="0.3"/>
    <row r="582" s="86" customFormat="1" ht="15.75" customHeight="1" x14ac:dyDescent="0.3"/>
    <row r="583" s="86" customFormat="1" ht="15.75" customHeight="1" x14ac:dyDescent="0.3"/>
    <row r="584" s="86" customFormat="1" ht="15.75" customHeight="1" x14ac:dyDescent="0.3"/>
    <row r="585" s="86" customFormat="1" ht="15.75" customHeight="1" x14ac:dyDescent="0.3"/>
    <row r="586" s="86" customFormat="1" ht="15.75" customHeight="1" x14ac:dyDescent="0.3"/>
    <row r="587" s="86" customFormat="1" ht="15.75" customHeight="1" x14ac:dyDescent="0.3"/>
    <row r="588" s="86" customFormat="1" ht="15.75" customHeight="1" x14ac:dyDescent="0.3"/>
    <row r="589" s="86" customFormat="1" ht="15.75" customHeight="1" x14ac:dyDescent="0.3"/>
    <row r="590" s="86" customFormat="1" ht="15.75" customHeight="1" x14ac:dyDescent="0.3"/>
    <row r="591" s="86" customFormat="1" ht="15.75" customHeight="1" x14ac:dyDescent="0.3"/>
    <row r="592" s="86" customFormat="1" ht="15.75" customHeight="1" x14ac:dyDescent="0.3"/>
    <row r="593" s="86" customFormat="1" ht="15.75" customHeight="1" x14ac:dyDescent="0.3"/>
    <row r="594" s="86" customFormat="1" ht="15.75" customHeight="1" x14ac:dyDescent="0.3"/>
    <row r="595" s="86" customFormat="1" ht="15.75" customHeight="1" x14ac:dyDescent="0.3"/>
    <row r="596" s="86" customFormat="1" ht="15.75" customHeight="1" x14ac:dyDescent="0.3"/>
    <row r="597" s="86" customFormat="1" ht="15.75" customHeight="1" x14ac:dyDescent="0.3"/>
    <row r="598" s="86" customFormat="1" ht="15.75" customHeight="1" x14ac:dyDescent="0.3"/>
    <row r="599" s="86" customFormat="1" ht="15.75" customHeight="1" x14ac:dyDescent="0.3"/>
    <row r="600" s="86" customFormat="1" ht="15.75" customHeight="1" x14ac:dyDescent="0.3"/>
    <row r="601" s="86" customFormat="1" ht="15.75" customHeight="1" x14ac:dyDescent="0.3"/>
    <row r="602" s="86" customFormat="1" ht="15.75" customHeight="1" x14ac:dyDescent="0.3"/>
    <row r="603" s="86" customFormat="1" ht="15.75" customHeight="1" x14ac:dyDescent="0.3"/>
    <row r="604" s="86" customFormat="1" ht="15.75" customHeight="1" x14ac:dyDescent="0.3"/>
    <row r="605" s="86" customFormat="1" ht="15.75" customHeight="1" x14ac:dyDescent="0.3"/>
    <row r="606" s="86" customFormat="1" ht="15.75" customHeight="1" x14ac:dyDescent="0.3"/>
    <row r="607" s="86" customFormat="1" ht="15.75" customHeight="1" x14ac:dyDescent="0.3"/>
    <row r="608" s="86" customFormat="1" ht="15.75" customHeight="1" x14ac:dyDescent="0.3"/>
    <row r="609" s="86" customFormat="1" ht="15.75" customHeight="1" x14ac:dyDescent="0.3"/>
    <row r="610" s="86" customFormat="1" ht="15.75" customHeight="1" x14ac:dyDescent="0.3"/>
    <row r="611" s="86" customFormat="1" ht="15.75" customHeight="1" x14ac:dyDescent="0.3"/>
    <row r="612" s="86" customFormat="1" ht="15.75" customHeight="1" x14ac:dyDescent="0.3"/>
    <row r="613" s="86" customFormat="1" ht="15.75" customHeight="1" x14ac:dyDescent="0.3"/>
    <row r="614" s="86" customFormat="1" ht="15.75" customHeight="1" x14ac:dyDescent="0.3"/>
    <row r="615" s="86" customFormat="1" ht="15.75" customHeight="1" x14ac:dyDescent="0.3"/>
    <row r="616" s="86" customFormat="1" ht="15.75" customHeight="1" x14ac:dyDescent="0.3"/>
    <row r="617" s="86" customFormat="1" ht="15.75" customHeight="1" x14ac:dyDescent="0.3"/>
    <row r="618" s="86" customFormat="1" ht="15.75" customHeight="1" x14ac:dyDescent="0.3"/>
    <row r="619" s="86" customFormat="1" ht="15.75" customHeight="1" x14ac:dyDescent="0.3"/>
    <row r="620" s="86" customFormat="1" ht="15.75" customHeight="1" x14ac:dyDescent="0.3"/>
    <row r="621" s="86" customFormat="1" ht="15.75" customHeight="1" x14ac:dyDescent="0.3"/>
    <row r="622" s="86" customFormat="1" ht="15.75" customHeight="1" x14ac:dyDescent="0.3"/>
    <row r="623" s="86" customFormat="1" ht="15.75" customHeight="1" x14ac:dyDescent="0.3"/>
    <row r="624" s="86" customFormat="1" ht="15.75" customHeight="1" x14ac:dyDescent="0.3"/>
    <row r="625" s="86" customFormat="1" ht="15.75" customHeight="1" x14ac:dyDescent="0.3"/>
    <row r="626" s="86" customFormat="1" ht="15.75" customHeight="1" x14ac:dyDescent="0.3"/>
    <row r="627" s="86" customFormat="1" ht="15.75" customHeight="1" x14ac:dyDescent="0.3"/>
    <row r="628" s="86" customFormat="1" ht="15.75" customHeight="1" x14ac:dyDescent="0.3"/>
    <row r="629" s="86" customFormat="1" ht="15.75" customHeight="1" x14ac:dyDescent="0.3"/>
    <row r="630" s="86" customFormat="1" ht="15.75" customHeight="1" x14ac:dyDescent="0.3"/>
    <row r="631" s="86" customFormat="1" ht="15.75" customHeight="1" x14ac:dyDescent="0.3"/>
    <row r="632" s="86" customFormat="1" ht="15.75" customHeight="1" x14ac:dyDescent="0.3"/>
    <row r="633" s="86" customFormat="1" ht="15.75" customHeight="1" x14ac:dyDescent="0.3"/>
    <row r="634" s="86" customFormat="1" ht="15.75" customHeight="1" x14ac:dyDescent="0.3"/>
    <row r="635" s="86" customFormat="1" ht="15.75" customHeight="1" x14ac:dyDescent="0.3"/>
    <row r="636" s="86" customFormat="1" ht="15.75" customHeight="1" x14ac:dyDescent="0.3"/>
    <row r="637" s="86" customFormat="1" ht="15.75" customHeight="1" x14ac:dyDescent="0.3"/>
    <row r="638" s="86" customFormat="1" ht="15.75" customHeight="1" x14ac:dyDescent="0.3"/>
    <row r="639" s="86" customFormat="1" ht="15.75" customHeight="1" x14ac:dyDescent="0.3"/>
    <row r="640" s="86" customFormat="1" ht="15.75" customHeight="1" x14ac:dyDescent="0.3"/>
    <row r="641" s="86" customFormat="1" ht="15.75" customHeight="1" x14ac:dyDescent="0.3"/>
    <row r="642" s="86" customFormat="1" ht="15.75" customHeight="1" x14ac:dyDescent="0.3"/>
    <row r="643" s="86" customFormat="1" ht="15.75" customHeight="1" x14ac:dyDescent="0.3"/>
    <row r="644" s="86" customFormat="1" ht="15.75" customHeight="1" x14ac:dyDescent="0.3"/>
    <row r="645" s="86" customFormat="1" ht="15.75" customHeight="1" x14ac:dyDescent="0.3"/>
    <row r="646" s="86" customFormat="1" ht="15.75" customHeight="1" x14ac:dyDescent="0.3"/>
    <row r="647" s="86" customFormat="1" ht="15.75" customHeight="1" x14ac:dyDescent="0.3"/>
    <row r="648" s="86" customFormat="1" ht="15.75" customHeight="1" x14ac:dyDescent="0.3"/>
    <row r="649" s="86" customFormat="1" ht="15.75" customHeight="1" x14ac:dyDescent="0.3"/>
    <row r="650" s="86" customFormat="1" ht="15.75" customHeight="1" x14ac:dyDescent="0.3"/>
    <row r="651" s="86" customFormat="1" ht="15.75" customHeight="1" x14ac:dyDescent="0.3"/>
    <row r="652" s="86" customFormat="1" ht="15.75" customHeight="1" x14ac:dyDescent="0.3"/>
    <row r="653" s="86" customFormat="1" ht="15.75" customHeight="1" x14ac:dyDescent="0.3"/>
    <row r="654" s="86" customFormat="1" ht="15.75" customHeight="1" x14ac:dyDescent="0.3"/>
    <row r="655" s="86" customFormat="1" ht="15.75" customHeight="1" x14ac:dyDescent="0.3"/>
    <row r="656" s="86" customFormat="1" ht="15.75" customHeight="1" x14ac:dyDescent="0.3"/>
    <row r="657" s="86" customFormat="1" ht="15.75" customHeight="1" x14ac:dyDescent="0.3"/>
    <row r="658" s="86" customFormat="1" ht="15.75" customHeight="1" x14ac:dyDescent="0.3"/>
    <row r="659" s="86" customFormat="1" ht="15.75" customHeight="1" x14ac:dyDescent="0.3"/>
    <row r="660" s="86" customFormat="1" ht="15.75" customHeight="1" x14ac:dyDescent="0.3"/>
    <row r="661" s="86" customFormat="1" ht="15.75" customHeight="1" x14ac:dyDescent="0.3"/>
    <row r="662" s="86" customFormat="1" ht="15.75" customHeight="1" x14ac:dyDescent="0.3"/>
    <row r="663" s="86" customFormat="1" ht="15.75" customHeight="1" x14ac:dyDescent="0.3"/>
    <row r="664" s="86" customFormat="1" ht="15.75" customHeight="1" x14ac:dyDescent="0.3"/>
    <row r="665" s="86" customFormat="1" ht="15.75" customHeight="1" x14ac:dyDescent="0.3"/>
    <row r="666" s="86" customFormat="1" ht="15.75" customHeight="1" x14ac:dyDescent="0.3"/>
    <row r="667" s="86" customFormat="1" ht="15.75" customHeight="1" x14ac:dyDescent="0.3"/>
    <row r="668" s="86" customFormat="1" ht="15.75" customHeight="1" x14ac:dyDescent="0.3"/>
    <row r="669" s="86" customFormat="1" ht="15.75" customHeight="1" x14ac:dyDescent="0.3"/>
    <row r="670" s="86" customFormat="1" ht="15.75" customHeight="1" x14ac:dyDescent="0.3"/>
    <row r="671" s="86" customFormat="1" ht="15.75" customHeight="1" x14ac:dyDescent="0.3"/>
    <row r="672" s="86" customFormat="1" ht="15.75" customHeight="1" x14ac:dyDescent="0.3"/>
    <row r="673" s="86" customFormat="1" ht="15.75" customHeight="1" x14ac:dyDescent="0.3"/>
    <row r="674" s="86" customFormat="1" ht="15.75" customHeight="1" x14ac:dyDescent="0.3"/>
    <row r="675" s="86" customFormat="1" ht="15.75" customHeight="1" x14ac:dyDescent="0.3"/>
    <row r="676" s="86" customFormat="1" ht="15.75" customHeight="1" x14ac:dyDescent="0.3"/>
    <row r="677" s="86" customFormat="1" ht="15.75" customHeight="1" x14ac:dyDescent="0.3"/>
    <row r="678" s="86" customFormat="1" ht="15.75" customHeight="1" x14ac:dyDescent="0.3"/>
    <row r="679" s="86" customFormat="1" ht="15.75" customHeight="1" x14ac:dyDescent="0.3"/>
    <row r="680" s="86" customFormat="1" ht="15.75" customHeight="1" x14ac:dyDescent="0.3"/>
    <row r="681" s="86" customFormat="1" ht="15.75" customHeight="1" x14ac:dyDescent="0.3"/>
    <row r="682" s="86" customFormat="1" ht="15.75" customHeight="1" x14ac:dyDescent="0.3"/>
    <row r="683" s="86" customFormat="1" ht="15.75" customHeight="1" x14ac:dyDescent="0.3"/>
    <row r="684" s="86" customFormat="1" ht="15.75" customHeight="1" x14ac:dyDescent="0.3"/>
    <row r="685" s="86" customFormat="1" ht="15.75" customHeight="1" x14ac:dyDescent="0.3"/>
    <row r="686" s="86" customFormat="1" ht="15.75" customHeight="1" x14ac:dyDescent="0.3"/>
    <row r="687" s="86" customFormat="1" ht="15.75" customHeight="1" x14ac:dyDescent="0.3"/>
    <row r="688" s="86" customFormat="1" ht="15.75" customHeight="1" x14ac:dyDescent="0.3"/>
    <row r="689" s="86" customFormat="1" ht="15.75" customHeight="1" x14ac:dyDescent="0.3"/>
    <row r="690" s="86" customFormat="1" ht="15.75" customHeight="1" x14ac:dyDescent="0.3"/>
    <row r="691" s="86" customFormat="1" ht="15.75" customHeight="1" x14ac:dyDescent="0.3"/>
    <row r="692" s="86" customFormat="1" ht="15.75" customHeight="1" x14ac:dyDescent="0.3"/>
    <row r="693" s="86" customFormat="1" ht="15.75" customHeight="1" x14ac:dyDescent="0.3"/>
    <row r="694" s="86" customFormat="1" ht="15.75" customHeight="1" x14ac:dyDescent="0.3"/>
    <row r="695" s="86" customFormat="1" ht="15.75" customHeight="1" x14ac:dyDescent="0.3"/>
    <row r="696" s="86" customFormat="1" ht="15.75" customHeight="1" x14ac:dyDescent="0.3"/>
    <row r="697" s="86" customFormat="1" ht="15.75" customHeight="1" x14ac:dyDescent="0.3"/>
    <row r="698" s="86" customFormat="1" ht="15.75" customHeight="1" x14ac:dyDescent="0.3"/>
    <row r="699" s="86" customFormat="1" ht="15.75" customHeight="1" x14ac:dyDescent="0.3"/>
    <row r="700" s="86" customFormat="1" ht="15.75" customHeight="1" x14ac:dyDescent="0.3"/>
    <row r="701" s="86" customFormat="1" ht="15.75" customHeight="1" x14ac:dyDescent="0.3"/>
    <row r="702" s="86" customFormat="1" ht="15.75" customHeight="1" x14ac:dyDescent="0.3"/>
    <row r="703" s="86" customFormat="1" ht="15.75" customHeight="1" x14ac:dyDescent="0.3"/>
    <row r="704" s="86" customFormat="1" ht="15.75" customHeight="1" x14ac:dyDescent="0.3"/>
    <row r="705" s="86" customFormat="1" ht="15.75" customHeight="1" x14ac:dyDescent="0.3"/>
    <row r="706" s="86" customFormat="1" ht="15.75" customHeight="1" x14ac:dyDescent="0.3"/>
    <row r="707" s="86" customFormat="1" ht="15.75" customHeight="1" x14ac:dyDescent="0.3"/>
    <row r="708" s="86" customFormat="1" ht="15.75" customHeight="1" x14ac:dyDescent="0.3"/>
    <row r="709" s="86" customFormat="1" ht="15.75" customHeight="1" x14ac:dyDescent="0.3"/>
    <row r="710" s="86" customFormat="1" ht="15.75" customHeight="1" x14ac:dyDescent="0.3"/>
    <row r="711" s="86" customFormat="1" ht="15.75" customHeight="1" x14ac:dyDescent="0.3"/>
    <row r="712" s="86" customFormat="1" ht="15.75" customHeight="1" x14ac:dyDescent="0.3"/>
    <row r="713" s="86" customFormat="1" ht="15.75" customHeight="1" x14ac:dyDescent="0.3"/>
    <row r="714" s="86" customFormat="1" ht="15.75" customHeight="1" x14ac:dyDescent="0.3"/>
    <row r="715" s="86" customFormat="1" ht="15.75" customHeight="1" x14ac:dyDescent="0.3"/>
    <row r="716" s="86" customFormat="1" ht="15.75" customHeight="1" x14ac:dyDescent="0.3"/>
    <row r="717" s="86" customFormat="1" ht="15.75" customHeight="1" x14ac:dyDescent="0.3"/>
    <row r="718" s="86" customFormat="1" ht="15.75" customHeight="1" x14ac:dyDescent="0.3"/>
    <row r="719" s="86" customFormat="1" ht="15.75" customHeight="1" x14ac:dyDescent="0.3"/>
    <row r="720" s="86" customFormat="1" ht="15.75" customHeight="1" x14ac:dyDescent="0.3"/>
    <row r="721" s="86" customFormat="1" ht="15.75" customHeight="1" x14ac:dyDescent="0.3"/>
    <row r="722" s="86" customFormat="1" ht="15.75" customHeight="1" x14ac:dyDescent="0.3"/>
    <row r="723" s="86" customFormat="1" ht="15.75" customHeight="1" x14ac:dyDescent="0.3"/>
    <row r="724" s="86" customFormat="1" ht="15.75" customHeight="1" x14ac:dyDescent="0.3"/>
    <row r="725" s="86" customFormat="1" ht="15.75" customHeight="1" x14ac:dyDescent="0.3"/>
    <row r="726" s="86" customFormat="1" ht="15.75" customHeight="1" x14ac:dyDescent="0.3"/>
    <row r="727" s="86" customFormat="1" ht="15.75" customHeight="1" x14ac:dyDescent="0.3"/>
    <row r="728" s="86" customFormat="1" ht="15.75" customHeight="1" x14ac:dyDescent="0.3"/>
    <row r="729" s="86" customFormat="1" ht="15.75" customHeight="1" x14ac:dyDescent="0.3"/>
    <row r="730" s="86" customFormat="1" ht="15.75" customHeight="1" x14ac:dyDescent="0.3"/>
    <row r="731" s="86" customFormat="1" ht="15.75" customHeight="1" x14ac:dyDescent="0.3"/>
    <row r="732" s="86" customFormat="1" ht="15.75" customHeight="1" x14ac:dyDescent="0.3"/>
    <row r="733" s="86" customFormat="1" ht="15.75" customHeight="1" x14ac:dyDescent="0.3"/>
    <row r="734" s="86" customFormat="1" ht="15.75" customHeight="1" x14ac:dyDescent="0.3"/>
    <row r="735" s="86" customFormat="1" ht="15.75" customHeight="1" x14ac:dyDescent="0.3"/>
    <row r="736" s="86" customFormat="1" ht="15.75" customHeight="1" x14ac:dyDescent="0.3"/>
    <row r="737" s="86" customFormat="1" ht="15.75" customHeight="1" x14ac:dyDescent="0.3"/>
    <row r="738" s="86" customFormat="1" ht="15.75" customHeight="1" x14ac:dyDescent="0.3"/>
    <row r="739" s="86" customFormat="1" ht="15.75" customHeight="1" x14ac:dyDescent="0.3"/>
    <row r="740" s="86" customFormat="1" ht="15.75" customHeight="1" x14ac:dyDescent="0.3"/>
    <row r="741" s="86" customFormat="1" ht="15.75" customHeight="1" x14ac:dyDescent="0.3"/>
    <row r="742" s="86" customFormat="1" ht="15.75" customHeight="1" x14ac:dyDescent="0.3"/>
    <row r="743" s="86" customFormat="1" ht="15.75" customHeight="1" x14ac:dyDescent="0.3"/>
    <row r="744" s="86" customFormat="1" ht="15.75" customHeight="1" x14ac:dyDescent="0.3"/>
    <row r="745" s="86" customFormat="1" ht="15.75" customHeight="1" x14ac:dyDescent="0.3"/>
    <row r="746" s="86" customFormat="1" ht="15.75" customHeight="1" x14ac:dyDescent="0.3"/>
    <row r="747" s="86" customFormat="1" ht="15.75" customHeight="1" x14ac:dyDescent="0.3"/>
    <row r="748" s="86" customFormat="1" ht="15.75" customHeight="1" x14ac:dyDescent="0.3"/>
    <row r="749" s="86" customFormat="1" ht="15.75" customHeight="1" x14ac:dyDescent="0.3"/>
    <row r="750" s="86" customFormat="1" ht="15.75" customHeight="1" x14ac:dyDescent="0.3"/>
    <row r="751" s="86" customFormat="1" ht="15.75" customHeight="1" x14ac:dyDescent="0.3"/>
    <row r="752" s="86" customFormat="1" ht="15.75" customHeight="1" x14ac:dyDescent="0.3"/>
    <row r="753" s="86" customFormat="1" ht="15.75" customHeight="1" x14ac:dyDescent="0.3"/>
    <row r="754" s="86" customFormat="1" ht="15.75" customHeight="1" x14ac:dyDescent="0.3"/>
    <row r="755" s="86" customFormat="1" ht="15.75" customHeight="1" x14ac:dyDescent="0.3"/>
    <row r="756" s="86" customFormat="1" ht="15.75" customHeight="1" x14ac:dyDescent="0.3"/>
    <row r="757" s="86" customFormat="1" ht="15.75" customHeight="1" x14ac:dyDescent="0.3"/>
    <row r="758" s="86" customFormat="1" ht="15.75" customHeight="1" x14ac:dyDescent="0.3"/>
    <row r="759" s="86" customFormat="1" ht="15.75" customHeight="1" x14ac:dyDescent="0.3"/>
    <row r="760" s="86" customFormat="1" ht="15.75" customHeight="1" x14ac:dyDescent="0.3"/>
    <row r="761" s="86" customFormat="1" ht="15.75" customHeight="1" x14ac:dyDescent="0.3"/>
    <row r="762" s="86" customFormat="1" ht="15.75" customHeight="1" x14ac:dyDescent="0.3"/>
    <row r="763" s="86" customFormat="1" ht="15.75" customHeight="1" x14ac:dyDescent="0.3"/>
    <row r="764" s="86" customFormat="1" ht="15.75" customHeight="1" x14ac:dyDescent="0.3"/>
    <row r="765" s="86" customFormat="1" ht="15.75" customHeight="1" x14ac:dyDescent="0.3"/>
    <row r="766" s="86" customFormat="1" ht="15.75" customHeight="1" x14ac:dyDescent="0.3"/>
    <row r="767" s="86" customFormat="1" ht="15.75" customHeight="1" x14ac:dyDescent="0.3"/>
    <row r="768" s="86" customFormat="1" ht="15.75" customHeight="1" x14ac:dyDescent="0.3"/>
    <row r="769" s="86" customFormat="1" ht="15.75" customHeight="1" x14ac:dyDescent="0.3"/>
    <row r="770" s="86" customFormat="1" ht="15.75" customHeight="1" x14ac:dyDescent="0.3"/>
    <row r="771" s="86" customFormat="1" ht="15.75" customHeight="1" x14ac:dyDescent="0.3"/>
    <row r="772" s="86" customFormat="1" ht="15.75" customHeight="1" x14ac:dyDescent="0.3"/>
    <row r="773" s="86" customFormat="1" ht="15.75" customHeight="1" x14ac:dyDescent="0.3"/>
    <row r="774" s="86" customFormat="1" ht="15.75" customHeight="1" x14ac:dyDescent="0.3"/>
    <row r="775" s="86" customFormat="1" ht="15.75" customHeight="1" x14ac:dyDescent="0.3"/>
    <row r="776" s="86" customFormat="1" ht="15.75" customHeight="1" x14ac:dyDescent="0.3"/>
    <row r="777" s="86" customFormat="1" ht="15.75" customHeight="1" x14ac:dyDescent="0.3"/>
    <row r="778" s="86" customFormat="1" ht="15.75" customHeight="1" x14ac:dyDescent="0.3"/>
    <row r="779" s="86" customFormat="1" ht="15.75" customHeight="1" x14ac:dyDescent="0.3"/>
    <row r="780" s="86" customFormat="1" ht="15.75" customHeight="1" x14ac:dyDescent="0.3"/>
    <row r="781" s="86" customFormat="1" ht="15.75" customHeight="1" x14ac:dyDescent="0.3"/>
    <row r="782" s="86" customFormat="1" ht="15.75" customHeight="1" x14ac:dyDescent="0.3"/>
    <row r="783" s="86" customFormat="1" ht="15.75" customHeight="1" x14ac:dyDescent="0.3"/>
    <row r="784" s="86" customFormat="1" ht="15.75" customHeight="1" x14ac:dyDescent="0.3"/>
    <row r="785" s="86" customFormat="1" ht="15.75" customHeight="1" x14ac:dyDescent="0.3"/>
    <row r="786" s="86" customFormat="1" ht="15.75" customHeight="1" x14ac:dyDescent="0.3"/>
    <row r="787" s="86" customFormat="1" ht="15.75" customHeight="1" x14ac:dyDescent="0.3"/>
    <row r="788" s="86" customFormat="1" ht="15.75" customHeight="1" x14ac:dyDescent="0.3"/>
    <row r="789" s="86" customFormat="1" ht="15.75" customHeight="1" x14ac:dyDescent="0.3"/>
    <row r="790" s="86" customFormat="1" ht="15.75" customHeight="1" x14ac:dyDescent="0.3"/>
    <row r="791" s="86" customFormat="1" ht="15.75" customHeight="1" x14ac:dyDescent="0.3"/>
    <row r="792" s="86" customFormat="1" ht="15.75" customHeight="1" x14ac:dyDescent="0.3"/>
    <row r="793" s="86" customFormat="1" ht="15.75" customHeight="1" x14ac:dyDescent="0.3"/>
    <row r="794" s="86" customFormat="1" ht="15.75" customHeight="1" x14ac:dyDescent="0.3"/>
    <row r="795" s="86" customFormat="1" ht="15.75" customHeight="1" x14ac:dyDescent="0.3"/>
    <row r="796" s="86" customFormat="1" ht="15.75" customHeight="1" x14ac:dyDescent="0.3"/>
    <row r="797" s="86" customFormat="1" ht="15.75" customHeight="1" x14ac:dyDescent="0.3"/>
    <row r="798" s="86" customFormat="1" ht="15.75" customHeight="1" x14ac:dyDescent="0.3"/>
    <row r="799" s="86" customFormat="1" ht="15.75" customHeight="1" x14ac:dyDescent="0.3"/>
    <row r="800" s="86" customFormat="1" ht="15.75" customHeight="1" x14ac:dyDescent="0.3"/>
    <row r="801" s="86" customFormat="1" ht="15.75" customHeight="1" x14ac:dyDescent="0.3"/>
    <row r="802" s="86" customFormat="1" ht="15.75" customHeight="1" x14ac:dyDescent="0.3"/>
    <row r="803" s="86" customFormat="1" ht="15.75" customHeight="1" x14ac:dyDescent="0.3"/>
    <row r="804" s="86" customFormat="1" ht="15.75" customHeight="1" x14ac:dyDescent="0.3"/>
    <row r="805" s="86" customFormat="1" ht="15.75" customHeight="1" x14ac:dyDescent="0.3"/>
    <row r="806" s="86" customFormat="1" ht="15.75" customHeight="1" x14ac:dyDescent="0.3"/>
    <row r="807" s="86" customFormat="1" ht="15.75" customHeight="1" x14ac:dyDescent="0.3"/>
    <row r="808" s="86" customFormat="1" ht="15.75" customHeight="1" x14ac:dyDescent="0.3"/>
    <row r="809" s="86" customFormat="1" ht="15.75" customHeight="1" x14ac:dyDescent="0.3"/>
    <row r="810" s="86" customFormat="1" ht="15.75" customHeight="1" x14ac:dyDescent="0.3"/>
    <row r="811" s="86" customFormat="1" ht="15.75" customHeight="1" x14ac:dyDescent="0.3"/>
    <row r="812" s="86" customFormat="1" ht="15.75" customHeight="1" x14ac:dyDescent="0.3"/>
    <row r="813" s="86" customFormat="1" ht="15.75" customHeight="1" x14ac:dyDescent="0.3"/>
    <row r="814" s="86" customFormat="1" ht="15.75" customHeight="1" x14ac:dyDescent="0.3"/>
    <row r="815" s="86" customFormat="1" ht="15.75" customHeight="1" x14ac:dyDescent="0.3"/>
    <row r="816" s="86" customFormat="1" ht="15.75" customHeight="1" x14ac:dyDescent="0.3"/>
    <row r="817" s="86" customFormat="1" ht="15.75" customHeight="1" x14ac:dyDescent="0.3"/>
    <row r="818" s="86" customFormat="1" ht="15.75" customHeight="1" x14ac:dyDescent="0.3"/>
    <row r="819" s="86" customFormat="1" ht="15.75" customHeight="1" x14ac:dyDescent="0.3"/>
    <row r="820" s="86" customFormat="1" ht="15.75" customHeight="1" x14ac:dyDescent="0.3"/>
    <row r="821" s="86" customFormat="1" ht="15.75" customHeight="1" x14ac:dyDescent="0.3"/>
    <row r="822" s="86" customFormat="1" ht="15.75" customHeight="1" x14ac:dyDescent="0.3"/>
    <row r="823" s="86" customFormat="1" ht="15.75" customHeight="1" x14ac:dyDescent="0.3"/>
    <row r="824" s="86" customFormat="1" ht="15.75" customHeight="1" x14ac:dyDescent="0.3"/>
    <row r="825" s="86" customFormat="1" ht="15.75" customHeight="1" x14ac:dyDescent="0.3"/>
    <row r="826" s="86" customFormat="1" ht="15.75" customHeight="1" x14ac:dyDescent="0.3"/>
    <row r="827" s="86" customFormat="1" ht="15.75" customHeight="1" x14ac:dyDescent="0.3"/>
    <row r="828" s="86" customFormat="1" ht="15.75" customHeight="1" x14ac:dyDescent="0.3"/>
    <row r="829" s="86" customFormat="1" ht="15.75" customHeight="1" x14ac:dyDescent="0.3"/>
    <row r="830" s="86" customFormat="1" ht="15.75" customHeight="1" x14ac:dyDescent="0.3"/>
    <row r="831" s="86" customFormat="1" ht="15.75" customHeight="1" x14ac:dyDescent="0.3"/>
    <row r="832" s="86" customFormat="1" ht="15.75" customHeight="1" x14ac:dyDescent="0.3"/>
    <row r="833" s="86" customFormat="1" ht="15.75" customHeight="1" x14ac:dyDescent="0.3"/>
    <row r="834" s="86" customFormat="1" ht="15.75" customHeight="1" x14ac:dyDescent="0.3"/>
    <row r="835" s="86" customFormat="1" ht="15.75" customHeight="1" x14ac:dyDescent="0.3"/>
    <row r="836" s="86" customFormat="1" ht="15.75" customHeight="1" x14ac:dyDescent="0.3"/>
    <row r="837" s="86" customFormat="1" ht="15.75" customHeight="1" x14ac:dyDescent="0.3"/>
    <row r="838" s="86" customFormat="1" ht="15.75" customHeight="1" x14ac:dyDescent="0.3"/>
    <row r="839" s="86" customFormat="1" ht="15.75" customHeight="1" x14ac:dyDescent="0.3"/>
    <row r="840" s="86" customFormat="1" ht="15.75" customHeight="1" x14ac:dyDescent="0.3"/>
    <row r="841" s="86" customFormat="1" ht="15.75" customHeight="1" x14ac:dyDescent="0.3"/>
    <row r="842" s="86" customFormat="1" ht="15.75" customHeight="1" x14ac:dyDescent="0.3"/>
    <row r="843" s="86" customFormat="1" ht="15.75" customHeight="1" x14ac:dyDescent="0.3"/>
    <row r="844" s="86" customFormat="1" ht="15.75" customHeight="1" x14ac:dyDescent="0.3"/>
    <row r="845" s="86" customFormat="1" ht="15.75" customHeight="1" x14ac:dyDescent="0.3"/>
    <row r="846" s="86" customFormat="1" ht="15.75" customHeight="1" x14ac:dyDescent="0.3"/>
    <row r="847" s="86" customFormat="1" ht="15.75" customHeight="1" x14ac:dyDescent="0.3"/>
    <row r="848" s="86" customFormat="1" ht="15.75" customHeight="1" x14ac:dyDescent="0.3"/>
    <row r="849" s="86" customFormat="1" ht="15.75" customHeight="1" x14ac:dyDescent="0.3"/>
    <row r="850" s="86" customFormat="1" ht="15.75" customHeight="1" x14ac:dyDescent="0.3"/>
    <row r="851" s="86" customFormat="1" ht="15.75" customHeight="1" x14ac:dyDescent="0.3"/>
    <row r="852" s="86" customFormat="1" ht="15.75" customHeight="1" x14ac:dyDescent="0.3"/>
    <row r="853" s="86" customFormat="1" ht="15.75" customHeight="1" x14ac:dyDescent="0.3"/>
    <row r="854" s="86" customFormat="1" ht="15.75" customHeight="1" x14ac:dyDescent="0.3"/>
    <row r="855" s="86" customFormat="1" ht="15.75" customHeight="1" x14ac:dyDescent="0.3"/>
    <row r="856" s="86" customFormat="1" ht="15.75" customHeight="1" x14ac:dyDescent="0.3"/>
    <row r="857" s="86" customFormat="1" ht="15.75" customHeight="1" x14ac:dyDescent="0.3"/>
    <row r="858" s="86" customFormat="1" ht="15.75" customHeight="1" x14ac:dyDescent="0.3"/>
    <row r="859" s="86" customFormat="1" ht="15.75" customHeight="1" x14ac:dyDescent="0.3"/>
    <row r="860" s="86" customFormat="1" ht="15.75" customHeight="1" x14ac:dyDescent="0.3"/>
    <row r="861" s="86" customFormat="1" ht="15.75" customHeight="1" x14ac:dyDescent="0.3"/>
    <row r="862" s="86" customFormat="1" ht="15.75" customHeight="1" x14ac:dyDescent="0.3"/>
    <row r="863" s="86" customFormat="1" ht="15.75" customHeight="1" x14ac:dyDescent="0.3"/>
    <row r="864" s="86" customFormat="1" ht="15.75" customHeight="1" x14ac:dyDescent="0.3"/>
    <row r="865" s="86" customFormat="1" ht="15.75" customHeight="1" x14ac:dyDescent="0.3"/>
    <row r="866" s="86" customFormat="1" ht="15.75" customHeight="1" x14ac:dyDescent="0.3"/>
    <row r="867" s="86" customFormat="1" ht="15.75" customHeight="1" x14ac:dyDescent="0.3"/>
    <row r="868" s="86" customFormat="1" ht="15.75" customHeight="1" x14ac:dyDescent="0.3"/>
    <row r="869" s="86" customFormat="1" ht="15.75" customHeight="1" x14ac:dyDescent="0.3"/>
    <row r="870" s="86" customFormat="1" ht="15.75" customHeight="1" x14ac:dyDescent="0.3"/>
    <row r="871" s="86" customFormat="1" ht="15.75" customHeight="1" x14ac:dyDescent="0.3"/>
    <row r="872" s="86" customFormat="1" ht="15.75" customHeight="1" x14ac:dyDescent="0.3"/>
    <row r="873" s="86" customFormat="1" ht="15.75" customHeight="1" x14ac:dyDescent="0.3"/>
    <row r="874" s="86" customFormat="1" ht="15.75" customHeight="1" x14ac:dyDescent="0.3"/>
    <row r="875" s="86" customFormat="1" ht="15.75" customHeight="1" x14ac:dyDescent="0.3"/>
    <row r="876" s="86" customFormat="1" ht="15.75" customHeight="1" x14ac:dyDescent="0.3"/>
    <row r="877" s="86" customFormat="1" ht="15.75" customHeight="1" x14ac:dyDescent="0.3"/>
    <row r="878" s="86" customFormat="1" ht="15.75" customHeight="1" x14ac:dyDescent="0.3"/>
    <row r="879" s="86" customFormat="1" ht="15.75" customHeight="1" x14ac:dyDescent="0.3"/>
    <row r="880" s="86" customFormat="1" ht="15.75" customHeight="1" x14ac:dyDescent="0.3"/>
    <row r="881" s="86" customFormat="1" ht="15.75" customHeight="1" x14ac:dyDescent="0.3"/>
    <row r="882" s="86" customFormat="1" ht="15.75" customHeight="1" x14ac:dyDescent="0.3"/>
    <row r="883" s="86" customFormat="1" ht="15.75" customHeight="1" x14ac:dyDescent="0.3"/>
    <row r="884" s="86" customFormat="1" ht="15.75" customHeight="1" x14ac:dyDescent="0.3"/>
    <row r="885" s="86" customFormat="1" ht="15.75" customHeight="1" x14ac:dyDescent="0.3"/>
    <row r="886" s="86" customFormat="1" ht="15.75" customHeight="1" x14ac:dyDescent="0.3"/>
    <row r="887" s="86" customFormat="1" ht="15.75" customHeight="1" x14ac:dyDescent="0.3"/>
    <row r="888" s="86" customFormat="1" ht="15.75" customHeight="1" x14ac:dyDescent="0.3"/>
    <row r="889" s="86" customFormat="1" ht="15.75" customHeight="1" x14ac:dyDescent="0.3"/>
    <row r="890" s="86" customFormat="1" ht="15.75" customHeight="1" x14ac:dyDescent="0.3"/>
    <row r="891" s="86" customFormat="1" ht="15.75" customHeight="1" x14ac:dyDescent="0.3"/>
    <row r="892" s="86" customFormat="1" ht="15.75" customHeight="1" x14ac:dyDescent="0.3"/>
    <row r="893" s="86" customFormat="1" ht="15.75" customHeight="1" x14ac:dyDescent="0.3"/>
    <row r="894" s="86" customFormat="1" ht="15.75" customHeight="1" x14ac:dyDescent="0.3"/>
    <row r="895" s="86" customFormat="1" ht="15.75" customHeight="1" x14ac:dyDescent="0.3"/>
    <row r="896" s="86" customFormat="1" ht="15.75" customHeight="1" x14ac:dyDescent="0.3"/>
    <row r="897" s="86" customFormat="1" ht="15.75" customHeight="1" x14ac:dyDescent="0.3"/>
    <row r="898" s="86" customFormat="1" ht="15.75" customHeight="1" x14ac:dyDescent="0.3"/>
    <row r="899" s="86" customFormat="1" ht="15.75" customHeight="1" x14ac:dyDescent="0.3"/>
    <row r="900" s="86" customFormat="1" ht="15.75" customHeight="1" x14ac:dyDescent="0.3"/>
    <row r="901" s="86" customFormat="1" ht="15.75" customHeight="1" x14ac:dyDescent="0.3"/>
    <row r="902" s="86" customFormat="1" ht="15.75" customHeight="1" x14ac:dyDescent="0.3"/>
    <row r="903" s="86" customFormat="1" ht="15.75" customHeight="1" x14ac:dyDescent="0.3"/>
    <row r="904" s="86" customFormat="1" ht="15.75" customHeight="1" x14ac:dyDescent="0.3"/>
    <row r="905" s="86" customFormat="1" ht="15.75" customHeight="1" x14ac:dyDescent="0.3"/>
    <row r="906" s="86" customFormat="1" ht="15.75" customHeight="1" x14ac:dyDescent="0.3"/>
    <row r="907" s="86" customFormat="1" ht="15.75" customHeight="1" x14ac:dyDescent="0.3"/>
    <row r="908" s="86" customFormat="1" ht="15.75" customHeight="1" x14ac:dyDescent="0.3"/>
    <row r="909" s="86" customFormat="1" ht="15.75" customHeight="1" x14ac:dyDescent="0.3"/>
    <row r="910" s="86" customFormat="1" ht="15.75" customHeight="1" x14ac:dyDescent="0.3"/>
    <row r="911" s="86" customFormat="1" ht="15.75" customHeight="1" x14ac:dyDescent="0.3"/>
    <row r="912" s="86" customFormat="1" ht="15.75" customHeight="1" x14ac:dyDescent="0.3"/>
    <row r="913" s="86" customFormat="1" ht="15.75" customHeight="1" x14ac:dyDescent="0.3"/>
    <row r="914" s="86" customFormat="1" ht="15.75" customHeight="1" x14ac:dyDescent="0.3"/>
    <row r="915" s="86" customFormat="1" ht="15.75" customHeight="1" x14ac:dyDescent="0.3"/>
    <row r="916" s="86" customFormat="1" ht="15.75" customHeight="1" x14ac:dyDescent="0.3"/>
    <row r="917" s="86" customFormat="1" ht="15.75" customHeight="1" x14ac:dyDescent="0.3"/>
    <row r="918" s="86" customFormat="1" ht="15.75" customHeight="1" x14ac:dyDescent="0.3"/>
    <row r="919" s="86" customFormat="1" ht="15.75" customHeight="1" x14ac:dyDescent="0.3"/>
    <row r="920" s="86" customFormat="1" ht="15.75" customHeight="1" x14ac:dyDescent="0.3"/>
    <row r="921" s="86" customFormat="1" ht="15.75" customHeight="1" x14ac:dyDescent="0.3"/>
    <row r="922" s="86" customFormat="1" ht="15.75" customHeight="1" x14ac:dyDescent="0.3"/>
    <row r="923" s="86" customFormat="1" ht="15.75" customHeight="1" x14ac:dyDescent="0.3"/>
    <row r="924" s="86" customFormat="1" ht="15.75" customHeight="1" x14ac:dyDescent="0.3"/>
    <row r="925" s="86" customFormat="1" ht="15.75" customHeight="1" x14ac:dyDescent="0.3"/>
    <row r="926" s="86" customFormat="1" ht="15.75" customHeight="1" x14ac:dyDescent="0.3"/>
    <row r="927" s="86" customFormat="1" ht="15.75" customHeight="1" x14ac:dyDescent="0.3"/>
    <row r="928" s="86" customFormat="1" ht="15.75" customHeight="1" x14ac:dyDescent="0.3"/>
    <row r="929" s="86" customFormat="1" ht="15.75" customHeight="1" x14ac:dyDescent="0.3"/>
    <row r="930" s="86" customFormat="1" ht="15.75" customHeight="1" x14ac:dyDescent="0.3"/>
    <row r="931" s="86" customFormat="1" ht="15.75" customHeight="1" x14ac:dyDescent="0.3"/>
    <row r="932" s="86" customFormat="1" ht="15.75" customHeight="1" x14ac:dyDescent="0.3"/>
    <row r="933" s="86" customFormat="1" ht="15.75" customHeight="1" x14ac:dyDescent="0.3"/>
    <row r="934" s="86" customFormat="1" ht="15.75" customHeight="1" x14ac:dyDescent="0.3"/>
    <row r="935" s="86" customFormat="1" ht="15.75" customHeight="1" x14ac:dyDescent="0.3"/>
    <row r="936" s="86" customFormat="1" ht="15.75" customHeight="1" x14ac:dyDescent="0.3"/>
    <row r="937" s="86" customFormat="1" ht="15.75" customHeight="1" x14ac:dyDescent="0.3"/>
    <row r="938" s="86" customFormat="1" ht="15.75" customHeight="1" x14ac:dyDescent="0.3"/>
    <row r="939" s="86" customFormat="1" ht="15.75" customHeight="1" x14ac:dyDescent="0.3"/>
    <row r="940" s="86" customFormat="1" ht="15.75" customHeight="1" x14ac:dyDescent="0.3"/>
    <row r="941" s="86" customFormat="1" ht="15.75" customHeight="1" x14ac:dyDescent="0.3"/>
    <row r="942" s="86" customFormat="1" ht="15.75" customHeight="1" x14ac:dyDescent="0.3"/>
    <row r="943" s="86" customFormat="1" ht="15.75" customHeight="1" x14ac:dyDescent="0.3"/>
    <row r="944" s="86" customFormat="1" ht="15.75" customHeight="1" x14ac:dyDescent="0.3"/>
    <row r="945" s="86" customFormat="1" ht="15.75" customHeight="1" x14ac:dyDescent="0.3"/>
    <row r="946" s="86" customFormat="1" ht="15.75" customHeight="1" x14ac:dyDescent="0.3"/>
    <row r="947" s="86" customFormat="1" ht="15.75" customHeight="1" x14ac:dyDescent="0.3"/>
    <row r="948" s="86" customFormat="1" ht="15.75" customHeight="1" x14ac:dyDescent="0.3"/>
    <row r="949" s="86" customFormat="1" ht="15.75" customHeight="1" x14ac:dyDescent="0.3"/>
    <row r="950" s="86" customFormat="1" ht="15.75" customHeight="1" x14ac:dyDescent="0.3"/>
    <row r="951" s="86" customFormat="1" ht="15.75" customHeight="1" x14ac:dyDescent="0.3"/>
    <row r="952" s="86" customFormat="1" ht="15.75" customHeight="1" x14ac:dyDescent="0.3"/>
    <row r="953" s="86" customFormat="1" ht="15.75" customHeight="1" x14ac:dyDescent="0.3"/>
    <row r="954" s="86" customFormat="1" ht="15.75" customHeight="1" x14ac:dyDescent="0.3"/>
    <row r="955" s="86" customFormat="1" ht="15.75" customHeight="1" x14ac:dyDescent="0.3"/>
    <row r="956" s="86" customFormat="1" ht="15.75" customHeight="1" x14ac:dyDescent="0.3"/>
    <row r="957" s="86" customFormat="1" ht="15.75" customHeight="1" x14ac:dyDescent="0.3"/>
    <row r="958" s="86" customFormat="1" ht="15.75" customHeight="1" x14ac:dyDescent="0.3"/>
    <row r="959" s="86" customFormat="1" ht="15.75" customHeight="1" x14ac:dyDescent="0.3"/>
    <row r="960" s="86" customFormat="1" ht="15.75" customHeight="1" x14ac:dyDescent="0.3"/>
    <row r="961" s="86" customFormat="1" ht="15.75" customHeight="1" x14ac:dyDescent="0.3"/>
    <row r="962" s="86" customFormat="1" ht="15.75" customHeight="1" x14ac:dyDescent="0.3"/>
    <row r="963" s="86" customFormat="1" ht="15.75" customHeight="1" x14ac:dyDescent="0.3"/>
    <row r="964" s="86" customFormat="1" ht="15.75" customHeight="1" x14ac:dyDescent="0.3"/>
    <row r="965" s="86" customFormat="1" ht="15.75" customHeight="1" x14ac:dyDescent="0.3"/>
    <row r="966" s="86" customFormat="1" ht="15.75" customHeight="1" x14ac:dyDescent="0.3"/>
    <row r="967" s="86" customFormat="1" ht="15.75" customHeight="1" x14ac:dyDescent="0.3"/>
    <row r="968" s="86" customFormat="1" ht="15.75" customHeight="1" x14ac:dyDescent="0.3"/>
    <row r="969" s="86" customFormat="1" ht="15.75" customHeight="1" x14ac:dyDescent="0.3"/>
    <row r="970" s="86" customFormat="1" ht="15.75" customHeight="1" x14ac:dyDescent="0.3"/>
    <row r="971" s="86" customFormat="1" ht="15.75" customHeight="1" x14ac:dyDescent="0.3"/>
    <row r="972" s="86" customFormat="1" ht="15.75" customHeight="1" x14ac:dyDescent="0.3"/>
    <row r="973" s="86" customFormat="1" ht="15.75" customHeight="1" x14ac:dyDescent="0.3"/>
    <row r="974" s="86" customFormat="1" ht="15.75" customHeight="1" x14ac:dyDescent="0.3"/>
    <row r="975" s="86" customFormat="1" ht="15.75" customHeight="1" x14ac:dyDescent="0.3"/>
    <row r="976" s="86" customFormat="1" ht="15.75" customHeight="1" x14ac:dyDescent="0.3"/>
    <row r="977" s="86" customFormat="1" ht="15.75" customHeight="1" x14ac:dyDescent="0.3"/>
    <row r="978" s="86" customFormat="1" ht="15.75" customHeight="1" x14ac:dyDescent="0.3"/>
    <row r="979" s="86" customFormat="1" ht="15.75" customHeight="1" x14ac:dyDescent="0.3"/>
    <row r="980" s="86" customFormat="1" ht="15.75" customHeight="1" x14ac:dyDescent="0.3"/>
    <row r="981" s="86" customFormat="1" ht="15.75" customHeight="1" x14ac:dyDescent="0.3"/>
    <row r="982" s="86" customFormat="1" ht="15.75" customHeight="1" x14ac:dyDescent="0.3"/>
    <row r="983" s="86" customFormat="1" ht="15.75" customHeight="1" x14ac:dyDescent="0.3"/>
    <row r="984" s="86" customFormat="1" ht="15.75" customHeight="1" x14ac:dyDescent="0.3"/>
    <row r="985" s="86" customFormat="1" ht="15.75" customHeight="1" x14ac:dyDescent="0.3"/>
    <row r="986" s="86" customFormat="1" ht="15.75" customHeight="1" x14ac:dyDescent="0.3"/>
    <row r="987" s="86" customFormat="1" ht="15.75" customHeight="1" x14ac:dyDescent="0.3"/>
    <row r="988" s="86" customFormat="1" ht="15.75" customHeight="1" x14ac:dyDescent="0.3"/>
    <row r="989" s="86" customFormat="1" ht="15.75" customHeight="1" x14ac:dyDescent="0.3"/>
    <row r="990" s="86" customFormat="1" ht="15.75" customHeight="1" x14ac:dyDescent="0.3"/>
    <row r="991" s="86" customFormat="1" ht="15.75" customHeight="1" x14ac:dyDescent="0.3"/>
    <row r="992" s="86" customFormat="1" ht="15.75" customHeight="1" x14ac:dyDescent="0.3"/>
    <row r="993" s="86" customFormat="1" ht="15.75" customHeight="1" x14ac:dyDescent="0.3"/>
    <row r="994" s="86" customFormat="1" ht="15.75" customHeight="1" x14ac:dyDescent="0.3"/>
    <row r="995" s="86" customFormat="1" ht="15.75" customHeight="1" x14ac:dyDescent="0.3"/>
    <row r="996" s="86" customFormat="1" ht="15.75" customHeight="1" x14ac:dyDescent="0.3"/>
    <row r="997" s="86" customFormat="1" ht="15.75" customHeight="1" x14ac:dyDescent="0.3"/>
    <row r="998" s="86" customFormat="1" ht="15.75" customHeight="1" x14ac:dyDescent="0.3"/>
    <row r="999" s="86" customFormat="1" ht="15.75" customHeight="1" x14ac:dyDescent="0.3"/>
    <row r="1000" s="86" customFormat="1" ht="15.75" customHeight="1" x14ac:dyDescent="0.3"/>
  </sheetData>
  <mergeCells count="3">
    <mergeCell ref="A2:A3"/>
    <mergeCell ref="B2:B3"/>
    <mergeCell ref="C2:C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71C86-F93B-471F-B1E1-C8E98F6CA433}">
  <dimension ref="A1:D1000"/>
  <sheetViews>
    <sheetView workbookViewId="0">
      <selection activeCell="B12" sqref="B12:D12"/>
    </sheetView>
  </sheetViews>
  <sheetFormatPr defaultColWidth="14.44140625" defaultRowHeight="14.4" x14ac:dyDescent="0.3"/>
  <cols>
    <col min="1" max="26" width="25.44140625" style="86" customWidth="1"/>
    <col min="27" max="16384" width="14.44140625" style="86"/>
  </cols>
  <sheetData>
    <row r="1" spans="1:4" x14ac:dyDescent="0.3">
      <c r="A1" s="73" t="s">
        <v>64</v>
      </c>
      <c r="B1" s="189" t="s">
        <v>141</v>
      </c>
      <c r="C1" s="186"/>
      <c r="D1" s="187"/>
    </row>
    <row r="2" spans="1:4" x14ac:dyDescent="0.3">
      <c r="A2" s="73" t="s">
        <v>61</v>
      </c>
      <c r="B2" s="92">
        <v>3</v>
      </c>
      <c r="C2" s="73" t="s">
        <v>65</v>
      </c>
      <c r="D2" s="93">
        <v>3</v>
      </c>
    </row>
    <row r="3" spans="1:4" x14ac:dyDescent="0.3">
      <c r="A3" s="73" t="s">
        <v>66</v>
      </c>
      <c r="B3" s="94"/>
      <c r="C3" s="73" t="s">
        <v>67</v>
      </c>
      <c r="D3" s="94"/>
    </row>
    <row r="4" spans="1:4" x14ac:dyDescent="0.3">
      <c r="A4" s="73" t="s">
        <v>68</v>
      </c>
      <c r="B4" s="94" t="s">
        <v>79</v>
      </c>
      <c r="C4" s="73" t="s">
        <v>69</v>
      </c>
      <c r="D4" s="94"/>
    </row>
    <row r="5" spans="1:4" x14ac:dyDescent="0.3">
      <c r="A5" s="73" t="s">
        <v>70</v>
      </c>
      <c r="B5" s="94" t="s">
        <v>76</v>
      </c>
      <c r="C5" s="73" t="s">
        <v>71</v>
      </c>
      <c r="D5" s="94" t="s">
        <v>72</v>
      </c>
    </row>
    <row r="6" spans="1:4" x14ac:dyDescent="0.3">
      <c r="A6" s="76" t="s">
        <v>73</v>
      </c>
      <c r="B6" s="76" t="s">
        <v>32</v>
      </c>
      <c r="C6" s="94" t="s">
        <v>74</v>
      </c>
      <c r="D6" s="94"/>
    </row>
    <row r="7" spans="1:4" x14ac:dyDescent="0.3">
      <c r="A7" s="76" t="s">
        <v>31</v>
      </c>
      <c r="B7" s="76" t="s">
        <v>72</v>
      </c>
      <c r="C7" s="94" t="s">
        <v>75</v>
      </c>
      <c r="D7" s="94"/>
    </row>
    <row r="8" spans="1:4" x14ac:dyDescent="0.3">
      <c r="A8" s="76" t="s">
        <v>76</v>
      </c>
      <c r="B8" s="76" t="s">
        <v>77</v>
      </c>
      <c r="C8" s="94" t="s">
        <v>78</v>
      </c>
      <c r="D8" s="94"/>
    </row>
    <row r="9" spans="1:4" x14ac:dyDescent="0.3">
      <c r="A9" s="76" t="s">
        <v>29</v>
      </c>
      <c r="B9" s="94"/>
      <c r="C9" s="94" t="s">
        <v>79</v>
      </c>
      <c r="D9" s="94"/>
    </row>
    <row r="10" spans="1:4" x14ac:dyDescent="0.3">
      <c r="A10" s="76" t="s">
        <v>27</v>
      </c>
      <c r="B10" s="94"/>
      <c r="C10" s="94" t="s">
        <v>80</v>
      </c>
      <c r="D10" s="94"/>
    </row>
    <row r="11" spans="1:4" x14ac:dyDescent="0.3">
      <c r="A11" s="73" t="s">
        <v>81</v>
      </c>
      <c r="B11" s="94"/>
      <c r="C11" s="73" t="s">
        <v>82</v>
      </c>
      <c r="D11" s="94" t="s">
        <v>134</v>
      </c>
    </row>
    <row r="12" spans="1:4" ht="368.4" customHeight="1" x14ac:dyDescent="0.3">
      <c r="A12" s="77" t="s">
        <v>83</v>
      </c>
      <c r="B12" s="188" t="s">
        <v>160</v>
      </c>
      <c r="C12" s="190"/>
      <c r="D12" s="191"/>
    </row>
    <row r="13" spans="1:4" ht="145.5" customHeight="1" x14ac:dyDescent="0.3">
      <c r="A13" s="73" t="s">
        <v>84</v>
      </c>
      <c r="B13" s="189"/>
      <c r="C13" s="192"/>
      <c r="D13" s="193"/>
    </row>
    <row r="21" s="86" customFormat="1" ht="15.75" customHeight="1" x14ac:dyDescent="0.3"/>
    <row r="22" s="86" customFormat="1" ht="15.75" customHeight="1" x14ac:dyDescent="0.3"/>
    <row r="23" s="86" customFormat="1" ht="15.75" customHeight="1" x14ac:dyDescent="0.3"/>
    <row r="24" s="86" customFormat="1" ht="15.75" customHeight="1" x14ac:dyDescent="0.3"/>
    <row r="25" s="86" customFormat="1" ht="15.75" customHeight="1" x14ac:dyDescent="0.3"/>
    <row r="26" s="86" customFormat="1" ht="15.75" customHeight="1" x14ac:dyDescent="0.3"/>
    <row r="27" s="86" customFormat="1" ht="15.75" customHeight="1" x14ac:dyDescent="0.3"/>
    <row r="28" s="86" customFormat="1" ht="15.75" customHeight="1" x14ac:dyDescent="0.3"/>
    <row r="29" s="86" customFormat="1" ht="15.75" customHeight="1" x14ac:dyDescent="0.3"/>
    <row r="30" s="86" customFormat="1" ht="15.75" customHeight="1" x14ac:dyDescent="0.3"/>
    <row r="31" s="86" customFormat="1" ht="15.75" customHeight="1" x14ac:dyDescent="0.3"/>
    <row r="32" s="86" customFormat="1" ht="15.75" customHeight="1" x14ac:dyDescent="0.3"/>
    <row r="33" s="86" customFormat="1" ht="15.75" customHeight="1" x14ac:dyDescent="0.3"/>
    <row r="34" s="86" customFormat="1" ht="15.75" customHeight="1" x14ac:dyDescent="0.3"/>
    <row r="35" s="86" customFormat="1" ht="15.75" customHeight="1" x14ac:dyDescent="0.3"/>
    <row r="36" s="86" customFormat="1" ht="15.75" customHeight="1" x14ac:dyDescent="0.3"/>
    <row r="37" s="86" customFormat="1" ht="15.75" customHeight="1" x14ac:dyDescent="0.3"/>
    <row r="38" s="86" customFormat="1" ht="15.75" customHeight="1" x14ac:dyDescent="0.3"/>
    <row r="39" s="86" customFormat="1" ht="15.75" customHeight="1" x14ac:dyDescent="0.3"/>
    <row r="40" s="86" customFormat="1" ht="15.75" customHeight="1" x14ac:dyDescent="0.3"/>
    <row r="41" s="86" customFormat="1" ht="15.75" customHeight="1" x14ac:dyDescent="0.3"/>
    <row r="42" s="86" customFormat="1" ht="15.75" customHeight="1" x14ac:dyDescent="0.3"/>
    <row r="43" s="86" customFormat="1" ht="15.75" customHeight="1" x14ac:dyDescent="0.3"/>
    <row r="44" s="86" customFormat="1" ht="15.75" customHeight="1" x14ac:dyDescent="0.3"/>
    <row r="45" s="86" customFormat="1" ht="15.75" customHeight="1" x14ac:dyDescent="0.3"/>
    <row r="46" s="86" customFormat="1" ht="15.75" customHeight="1" x14ac:dyDescent="0.3"/>
    <row r="47" s="86" customFormat="1" ht="15.75" customHeight="1" x14ac:dyDescent="0.3"/>
    <row r="48" s="86" customFormat="1" ht="15.75" customHeight="1" x14ac:dyDescent="0.3"/>
    <row r="49" s="86" customFormat="1" ht="15.75" customHeight="1" x14ac:dyDescent="0.3"/>
    <row r="50" s="86" customFormat="1" ht="15.75" customHeight="1" x14ac:dyDescent="0.3"/>
    <row r="51" s="86" customFormat="1" ht="15.75" customHeight="1" x14ac:dyDescent="0.3"/>
    <row r="52" s="86" customFormat="1" ht="15.75" customHeight="1" x14ac:dyDescent="0.3"/>
    <row r="53" s="86" customFormat="1" ht="15.75" customHeight="1" x14ac:dyDescent="0.3"/>
    <row r="54" s="86" customFormat="1" ht="15.75" customHeight="1" x14ac:dyDescent="0.3"/>
    <row r="55" s="86" customFormat="1" ht="15.75" customHeight="1" x14ac:dyDescent="0.3"/>
    <row r="56" s="86" customFormat="1" ht="15.75" customHeight="1" x14ac:dyDescent="0.3"/>
    <row r="57" s="86" customFormat="1" ht="15.75" customHeight="1" x14ac:dyDescent="0.3"/>
    <row r="58" s="86" customFormat="1" ht="15.75" customHeight="1" x14ac:dyDescent="0.3"/>
    <row r="59" s="86" customFormat="1" ht="15.75" customHeight="1" x14ac:dyDescent="0.3"/>
    <row r="60" s="86" customFormat="1" ht="15.75" customHeight="1" x14ac:dyDescent="0.3"/>
    <row r="61" s="86" customFormat="1" ht="15.75" customHeight="1" x14ac:dyDescent="0.3"/>
    <row r="62" s="86" customFormat="1" ht="15.75" customHeight="1" x14ac:dyDescent="0.3"/>
    <row r="63" s="86" customFormat="1" ht="15.75" customHeight="1" x14ac:dyDescent="0.3"/>
    <row r="64" s="86" customFormat="1" ht="15.75" customHeight="1" x14ac:dyDescent="0.3"/>
    <row r="65" s="86" customFormat="1" ht="15.75" customHeight="1" x14ac:dyDescent="0.3"/>
    <row r="66" s="86" customFormat="1" ht="15.75" customHeight="1" x14ac:dyDescent="0.3"/>
    <row r="67" s="86" customFormat="1" ht="15.75" customHeight="1" x14ac:dyDescent="0.3"/>
    <row r="68" s="86" customFormat="1" ht="15.75" customHeight="1" x14ac:dyDescent="0.3"/>
    <row r="69" s="86" customFormat="1" ht="15.75" customHeight="1" x14ac:dyDescent="0.3"/>
    <row r="70" s="86" customFormat="1" ht="15.75" customHeight="1" x14ac:dyDescent="0.3"/>
    <row r="71" s="86" customFormat="1" ht="15.75" customHeight="1" x14ac:dyDescent="0.3"/>
    <row r="72" s="86" customFormat="1" ht="15.75" customHeight="1" x14ac:dyDescent="0.3"/>
    <row r="73" s="86" customFormat="1" ht="15.75" customHeight="1" x14ac:dyDescent="0.3"/>
    <row r="74" s="86" customFormat="1" ht="15.75" customHeight="1" x14ac:dyDescent="0.3"/>
    <row r="75" s="86" customFormat="1" ht="15.75" customHeight="1" x14ac:dyDescent="0.3"/>
    <row r="76" s="86" customFormat="1" ht="15.75" customHeight="1" x14ac:dyDescent="0.3"/>
    <row r="77" s="86" customFormat="1" ht="15.75" customHeight="1" x14ac:dyDescent="0.3"/>
    <row r="78" s="86" customFormat="1" ht="15.75" customHeight="1" x14ac:dyDescent="0.3"/>
    <row r="79" s="86" customFormat="1" ht="15.75" customHeight="1" x14ac:dyDescent="0.3"/>
    <row r="80" s="86" customFormat="1" ht="15.75" customHeight="1" x14ac:dyDescent="0.3"/>
    <row r="81" s="86" customFormat="1" ht="15.75" customHeight="1" x14ac:dyDescent="0.3"/>
    <row r="82" s="86" customFormat="1" ht="15.75" customHeight="1" x14ac:dyDescent="0.3"/>
    <row r="83" s="86" customFormat="1" ht="15.75" customHeight="1" x14ac:dyDescent="0.3"/>
    <row r="84" s="86" customFormat="1" ht="15.75" customHeight="1" x14ac:dyDescent="0.3"/>
    <row r="85" s="86" customFormat="1" ht="15.75" customHeight="1" x14ac:dyDescent="0.3"/>
    <row r="86" s="86" customFormat="1" ht="15.75" customHeight="1" x14ac:dyDescent="0.3"/>
    <row r="87" s="86" customFormat="1" ht="15.75" customHeight="1" x14ac:dyDescent="0.3"/>
    <row r="88" s="86" customFormat="1" ht="15.75" customHeight="1" x14ac:dyDescent="0.3"/>
    <row r="89" s="86" customFormat="1" ht="15.75" customHeight="1" x14ac:dyDescent="0.3"/>
    <row r="90" s="86" customFormat="1" ht="15.75" customHeight="1" x14ac:dyDescent="0.3"/>
    <row r="91" s="86" customFormat="1" ht="15.75" customHeight="1" x14ac:dyDescent="0.3"/>
    <row r="92" s="86" customFormat="1" ht="15.75" customHeight="1" x14ac:dyDescent="0.3"/>
    <row r="93" s="86" customFormat="1" ht="15.75" customHeight="1" x14ac:dyDescent="0.3"/>
    <row r="94" s="86" customFormat="1" ht="15.75" customHeight="1" x14ac:dyDescent="0.3"/>
    <row r="95" s="86" customFormat="1" ht="15.75" customHeight="1" x14ac:dyDescent="0.3"/>
    <row r="96" s="86" customFormat="1" ht="15.75" customHeight="1" x14ac:dyDescent="0.3"/>
    <row r="97" s="86" customFormat="1" ht="15.75" customHeight="1" x14ac:dyDescent="0.3"/>
    <row r="98" s="86" customFormat="1" ht="15.75" customHeight="1" x14ac:dyDescent="0.3"/>
    <row r="99" s="86" customFormat="1" ht="15.75" customHeight="1" x14ac:dyDescent="0.3"/>
    <row r="100" s="86" customFormat="1" ht="15.75" customHeight="1" x14ac:dyDescent="0.3"/>
    <row r="101" s="86" customFormat="1" ht="15.75" customHeight="1" x14ac:dyDescent="0.3"/>
    <row r="102" s="86" customFormat="1" ht="15.75" customHeight="1" x14ac:dyDescent="0.3"/>
    <row r="103" s="86" customFormat="1" ht="15.75" customHeight="1" x14ac:dyDescent="0.3"/>
    <row r="104" s="86" customFormat="1" ht="15.75" customHeight="1" x14ac:dyDescent="0.3"/>
    <row r="105" s="86" customFormat="1" ht="15.75" customHeight="1" x14ac:dyDescent="0.3"/>
    <row r="106" s="86" customFormat="1" ht="15.75" customHeight="1" x14ac:dyDescent="0.3"/>
    <row r="107" s="86" customFormat="1" ht="15.75" customHeight="1" x14ac:dyDescent="0.3"/>
    <row r="108" s="86" customFormat="1" ht="15.75" customHeight="1" x14ac:dyDescent="0.3"/>
    <row r="109" s="86" customFormat="1" ht="15.75" customHeight="1" x14ac:dyDescent="0.3"/>
    <row r="110" s="86" customFormat="1" ht="15.75" customHeight="1" x14ac:dyDescent="0.3"/>
    <row r="111" s="86" customFormat="1" ht="15.75" customHeight="1" x14ac:dyDescent="0.3"/>
    <row r="112" s="86" customFormat="1" ht="15.75" customHeight="1" x14ac:dyDescent="0.3"/>
    <row r="113" s="86" customFormat="1" ht="15.75" customHeight="1" x14ac:dyDescent="0.3"/>
    <row r="114" s="86" customFormat="1" ht="15.75" customHeight="1" x14ac:dyDescent="0.3"/>
    <row r="115" s="86" customFormat="1" ht="15.75" customHeight="1" x14ac:dyDescent="0.3"/>
    <row r="116" s="86" customFormat="1" ht="15.75" customHeight="1" x14ac:dyDescent="0.3"/>
    <row r="117" s="86" customFormat="1" ht="15.75" customHeight="1" x14ac:dyDescent="0.3"/>
    <row r="118" s="86" customFormat="1" ht="15.75" customHeight="1" x14ac:dyDescent="0.3"/>
    <row r="119" s="86" customFormat="1" ht="15.75" customHeight="1" x14ac:dyDescent="0.3"/>
    <row r="120" s="86" customFormat="1" ht="15.75" customHeight="1" x14ac:dyDescent="0.3"/>
    <row r="121" s="86" customFormat="1" ht="15.75" customHeight="1" x14ac:dyDescent="0.3"/>
    <row r="122" s="86" customFormat="1" ht="15.75" customHeight="1" x14ac:dyDescent="0.3"/>
    <row r="123" s="86" customFormat="1" ht="15.75" customHeight="1" x14ac:dyDescent="0.3"/>
    <row r="124" s="86" customFormat="1" ht="15.75" customHeight="1" x14ac:dyDescent="0.3"/>
    <row r="125" s="86" customFormat="1" ht="15.75" customHeight="1" x14ac:dyDescent="0.3"/>
    <row r="126" s="86" customFormat="1" ht="15.75" customHeight="1" x14ac:dyDescent="0.3"/>
    <row r="127" s="86" customFormat="1" ht="15.75" customHeight="1" x14ac:dyDescent="0.3"/>
    <row r="128" s="86" customFormat="1" ht="15.75" customHeight="1" x14ac:dyDescent="0.3"/>
    <row r="129" s="86" customFormat="1" ht="15.75" customHeight="1" x14ac:dyDescent="0.3"/>
    <row r="130" s="86" customFormat="1" ht="15.75" customHeight="1" x14ac:dyDescent="0.3"/>
    <row r="131" s="86" customFormat="1" ht="15.75" customHeight="1" x14ac:dyDescent="0.3"/>
    <row r="132" s="86" customFormat="1" ht="15.75" customHeight="1" x14ac:dyDescent="0.3"/>
    <row r="133" s="86" customFormat="1" ht="15.75" customHeight="1" x14ac:dyDescent="0.3"/>
    <row r="134" s="86" customFormat="1" ht="15.75" customHeight="1" x14ac:dyDescent="0.3"/>
    <row r="135" s="86" customFormat="1" ht="15.75" customHeight="1" x14ac:dyDescent="0.3"/>
    <row r="136" s="86" customFormat="1" ht="15.75" customHeight="1" x14ac:dyDescent="0.3"/>
    <row r="137" s="86" customFormat="1" ht="15.75" customHeight="1" x14ac:dyDescent="0.3"/>
    <row r="138" s="86" customFormat="1" ht="15.75" customHeight="1" x14ac:dyDescent="0.3"/>
    <row r="139" s="86" customFormat="1" ht="15.75" customHeight="1" x14ac:dyDescent="0.3"/>
    <row r="140" s="86" customFormat="1" ht="15.75" customHeight="1" x14ac:dyDescent="0.3"/>
    <row r="141" s="86" customFormat="1" ht="15.75" customHeight="1" x14ac:dyDescent="0.3"/>
    <row r="142" s="86" customFormat="1" ht="15.75" customHeight="1" x14ac:dyDescent="0.3"/>
    <row r="143" s="86" customFormat="1" ht="15.75" customHeight="1" x14ac:dyDescent="0.3"/>
    <row r="144" s="86" customFormat="1" ht="15.75" customHeight="1" x14ac:dyDescent="0.3"/>
    <row r="145" s="86" customFormat="1" ht="15.75" customHeight="1" x14ac:dyDescent="0.3"/>
    <row r="146" s="86" customFormat="1" ht="15.75" customHeight="1" x14ac:dyDescent="0.3"/>
    <row r="147" s="86" customFormat="1" ht="15.75" customHeight="1" x14ac:dyDescent="0.3"/>
    <row r="148" s="86" customFormat="1" ht="15.75" customHeight="1" x14ac:dyDescent="0.3"/>
    <row r="149" s="86" customFormat="1" ht="15.75" customHeight="1" x14ac:dyDescent="0.3"/>
    <row r="150" s="86" customFormat="1" ht="15.75" customHeight="1" x14ac:dyDescent="0.3"/>
    <row r="151" s="86" customFormat="1" ht="15.75" customHeight="1" x14ac:dyDescent="0.3"/>
    <row r="152" s="86" customFormat="1" ht="15.75" customHeight="1" x14ac:dyDescent="0.3"/>
    <row r="153" s="86" customFormat="1" ht="15.75" customHeight="1" x14ac:dyDescent="0.3"/>
    <row r="154" s="86" customFormat="1" ht="15.75" customHeight="1" x14ac:dyDescent="0.3"/>
    <row r="155" s="86" customFormat="1" ht="15.75" customHeight="1" x14ac:dyDescent="0.3"/>
    <row r="156" s="86" customFormat="1" ht="15.75" customHeight="1" x14ac:dyDescent="0.3"/>
    <row r="157" s="86" customFormat="1" ht="15.75" customHeight="1" x14ac:dyDescent="0.3"/>
    <row r="158" s="86" customFormat="1" ht="15.75" customHeight="1" x14ac:dyDescent="0.3"/>
    <row r="159" s="86" customFormat="1" ht="15.75" customHeight="1" x14ac:dyDescent="0.3"/>
    <row r="160" s="86" customFormat="1" ht="15.75" customHeight="1" x14ac:dyDescent="0.3"/>
    <row r="161" s="86" customFormat="1" ht="15.75" customHeight="1" x14ac:dyDescent="0.3"/>
    <row r="162" s="86" customFormat="1" ht="15.75" customHeight="1" x14ac:dyDescent="0.3"/>
    <row r="163" s="86" customFormat="1" ht="15.75" customHeight="1" x14ac:dyDescent="0.3"/>
    <row r="164" s="86" customFormat="1" ht="15.75" customHeight="1" x14ac:dyDescent="0.3"/>
    <row r="165" s="86" customFormat="1" ht="15.75" customHeight="1" x14ac:dyDescent="0.3"/>
    <row r="166" s="86" customFormat="1" ht="15.75" customHeight="1" x14ac:dyDescent="0.3"/>
    <row r="167" s="86" customFormat="1" ht="15.75" customHeight="1" x14ac:dyDescent="0.3"/>
    <row r="168" s="86" customFormat="1" ht="15.75" customHeight="1" x14ac:dyDescent="0.3"/>
    <row r="169" s="86" customFormat="1" ht="15.75" customHeight="1" x14ac:dyDescent="0.3"/>
    <row r="170" s="86" customFormat="1" ht="15.75" customHeight="1" x14ac:dyDescent="0.3"/>
    <row r="171" s="86" customFormat="1" ht="15.75" customHeight="1" x14ac:dyDescent="0.3"/>
    <row r="172" s="86" customFormat="1" ht="15.75" customHeight="1" x14ac:dyDescent="0.3"/>
    <row r="173" s="86" customFormat="1" ht="15.75" customHeight="1" x14ac:dyDescent="0.3"/>
    <row r="174" s="86" customFormat="1" ht="15.75" customHeight="1" x14ac:dyDescent="0.3"/>
    <row r="175" s="86" customFormat="1" ht="15.75" customHeight="1" x14ac:dyDescent="0.3"/>
    <row r="176" s="86" customFormat="1" ht="15.75" customHeight="1" x14ac:dyDescent="0.3"/>
    <row r="177" s="86" customFormat="1" ht="15.75" customHeight="1" x14ac:dyDescent="0.3"/>
    <row r="178" s="86" customFormat="1" ht="15.75" customHeight="1" x14ac:dyDescent="0.3"/>
    <row r="179" s="86" customFormat="1" ht="15.75" customHeight="1" x14ac:dyDescent="0.3"/>
    <row r="180" s="86" customFormat="1" ht="15.75" customHeight="1" x14ac:dyDescent="0.3"/>
    <row r="181" s="86" customFormat="1" ht="15.75" customHeight="1" x14ac:dyDescent="0.3"/>
    <row r="182" s="86" customFormat="1" ht="15.75" customHeight="1" x14ac:dyDescent="0.3"/>
    <row r="183" s="86" customFormat="1" ht="15.75" customHeight="1" x14ac:dyDescent="0.3"/>
    <row r="184" s="86" customFormat="1" ht="15.75" customHeight="1" x14ac:dyDescent="0.3"/>
    <row r="185" s="86" customFormat="1" ht="15.75" customHeight="1" x14ac:dyDescent="0.3"/>
    <row r="186" s="86" customFormat="1" ht="15.75" customHeight="1" x14ac:dyDescent="0.3"/>
    <row r="187" s="86" customFormat="1" ht="15.75" customHeight="1" x14ac:dyDescent="0.3"/>
    <row r="188" s="86" customFormat="1" ht="15.75" customHeight="1" x14ac:dyDescent="0.3"/>
    <row r="189" s="86" customFormat="1" ht="15.75" customHeight="1" x14ac:dyDescent="0.3"/>
    <row r="190" s="86" customFormat="1" ht="15.75" customHeight="1" x14ac:dyDescent="0.3"/>
    <row r="191" s="86" customFormat="1" ht="15.75" customHeight="1" x14ac:dyDescent="0.3"/>
    <row r="192" s="86" customFormat="1" ht="15.75" customHeight="1" x14ac:dyDescent="0.3"/>
    <row r="193" s="86" customFormat="1" ht="15.75" customHeight="1" x14ac:dyDescent="0.3"/>
    <row r="194" s="86" customFormat="1" ht="15.75" customHeight="1" x14ac:dyDescent="0.3"/>
    <row r="195" s="86" customFormat="1" ht="15.75" customHeight="1" x14ac:dyDescent="0.3"/>
    <row r="196" s="86" customFormat="1" ht="15.75" customHeight="1" x14ac:dyDescent="0.3"/>
    <row r="197" s="86" customFormat="1" ht="15.75" customHeight="1" x14ac:dyDescent="0.3"/>
    <row r="198" s="86" customFormat="1" ht="15.75" customHeight="1" x14ac:dyDescent="0.3"/>
    <row r="199" s="86" customFormat="1" ht="15.75" customHeight="1" x14ac:dyDescent="0.3"/>
    <row r="200" s="86" customFormat="1" ht="15.75" customHeight="1" x14ac:dyDescent="0.3"/>
    <row r="201" s="86" customFormat="1" ht="15.75" customHeight="1" x14ac:dyDescent="0.3"/>
    <row r="202" s="86" customFormat="1" ht="15.75" customHeight="1" x14ac:dyDescent="0.3"/>
    <row r="203" s="86" customFormat="1" ht="15.75" customHeight="1" x14ac:dyDescent="0.3"/>
    <row r="204" s="86" customFormat="1" ht="15.75" customHeight="1" x14ac:dyDescent="0.3"/>
    <row r="205" s="86" customFormat="1" ht="15.75" customHeight="1" x14ac:dyDescent="0.3"/>
    <row r="206" s="86" customFormat="1" ht="15.75" customHeight="1" x14ac:dyDescent="0.3"/>
    <row r="207" s="86" customFormat="1" ht="15.75" customHeight="1" x14ac:dyDescent="0.3"/>
    <row r="208" s="86" customFormat="1" ht="15.75" customHeight="1" x14ac:dyDescent="0.3"/>
    <row r="209" s="86" customFormat="1" ht="15.75" customHeight="1" x14ac:dyDescent="0.3"/>
    <row r="210" s="86" customFormat="1" ht="15.75" customHeight="1" x14ac:dyDescent="0.3"/>
    <row r="211" s="86" customFormat="1" ht="15.75" customHeight="1" x14ac:dyDescent="0.3"/>
    <row r="212" s="86" customFormat="1" ht="15.75" customHeight="1" x14ac:dyDescent="0.3"/>
    <row r="213" s="86" customFormat="1" ht="15.75" customHeight="1" x14ac:dyDescent="0.3"/>
    <row r="214" s="86" customFormat="1" ht="15.75" customHeight="1" x14ac:dyDescent="0.3"/>
    <row r="215" s="86" customFormat="1" ht="15.75" customHeight="1" x14ac:dyDescent="0.3"/>
    <row r="216" s="86" customFormat="1" ht="15.75" customHeight="1" x14ac:dyDescent="0.3"/>
    <row r="217" s="86" customFormat="1" ht="15.75" customHeight="1" x14ac:dyDescent="0.3"/>
    <row r="218" s="86" customFormat="1" ht="15.75" customHeight="1" x14ac:dyDescent="0.3"/>
    <row r="219" s="86" customFormat="1" ht="15.75" customHeight="1" x14ac:dyDescent="0.3"/>
    <row r="220" s="86" customFormat="1" ht="15.75" customHeight="1" x14ac:dyDescent="0.3"/>
    <row r="221" s="86" customFormat="1" ht="15.75" customHeight="1" x14ac:dyDescent="0.3"/>
    <row r="222" s="86" customFormat="1" ht="15.75" customHeight="1" x14ac:dyDescent="0.3"/>
    <row r="223" s="86" customFormat="1" ht="15.75" customHeight="1" x14ac:dyDescent="0.3"/>
    <row r="224" s="86" customFormat="1" ht="15.75" customHeight="1" x14ac:dyDescent="0.3"/>
    <row r="225" s="86" customFormat="1" ht="15.75" customHeight="1" x14ac:dyDescent="0.3"/>
    <row r="226" s="86" customFormat="1" ht="15.75" customHeight="1" x14ac:dyDescent="0.3"/>
    <row r="227" s="86" customFormat="1" ht="15.75" customHeight="1" x14ac:dyDescent="0.3"/>
    <row r="228" s="86" customFormat="1" ht="15.75" customHeight="1" x14ac:dyDescent="0.3"/>
    <row r="229" s="86" customFormat="1" ht="15.75" customHeight="1" x14ac:dyDescent="0.3"/>
    <row r="230" s="86" customFormat="1" ht="15.75" customHeight="1" x14ac:dyDescent="0.3"/>
    <row r="231" s="86" customFormat="1" ht="15.75" customHeight="1" x14ac:dyDescent="0.3"/>
    <row r="232" s="86" customFormat="1" ht="15.75" customHeight="1" x14ac:dyDescent="0.3"/>
    <row r="233" s="86" customFormat="1" ht="15.75" customHeight="1" x14ac:dyDescent="0.3"/>
    <row r="234" s="86" customFormat="1" ht="15.75" customHeight="1" x14ac:dyDescent="0.3"/>
    <row r="235" s="86" customFormat="1" ht="15.75" customHeight="1" x14ac:dyDescent="0.3"/>
    <row r="236" s="86" customFormat="1" ht="15.75" customHeight="1" x14ac:dyDescent="0.3"/>
    <row r="237" s="86" customFormat="1" ht="15.75" customHeight="1" x14ac:dyDescent="0.3"/>
    <row r="238" s="86" customFormat="1" ht="15.75" customHeight="1" x14ac:dyDescent="0.3"/>
    <row r="239" s="86" customFormat="1" ht="15.75" customHeight="1" x14ac:dyDescent="0.3"/>
    <row r="240" s="86" customFormat="1" ht="15.75" customHeight="1" x14ac:dyDescent="0.3"/>
    <row r="241" s="86" customFormat="1" ht="15.75" customHeight="1" x14ac:dyDescent="0.3"/>
    <row r="242" s="86" customFormat="1" ht="15.75" customHeight="1" x14ac:dyDescent="0.3"/>
    <row r="243" s="86" customFormat="1" ht="15.75" customHeight="1" x14ac:dyDescent="0.3"/>
    <row r="244" s="86" customFormat="1" ht="15.75" customHeight="1" x14ac:dyDescent="0.3"/>
    <row r="245" s="86" customFormat="1" ht="15.75" customHeight="1" x14ac:dyDescent="0.3"/>
    <row r="246" s="86" customFormat="1" ht="15.75" customHeight="1" x14ac:dyDescent="0.3"/>
    <row r="247" s="86" customFormat="1" ht="15.75" customHeight="1" x14ac:dyDescent="0.3"/>
    <row r="248" s="86" customFormat="1" ht="15.75" customHeight="1" x14ac:dyDescent="0.3"/>
    <row r="249" s="86" customFormat="1" ht="15.75" customHeight="1" x14ac:dyDescent="0.3"/>
    <row r="250" s="86" customFormat="1" ht="15.75" customHeight="1" x14ac:dyDescent="0.3"/>
    <row r="251" s="86" customFormat="1" ht="15.75" customHeight="1" x14ac:dyDescent="0.3"/>
    <row r="252" s="86" customFormat="1" ht="15.75" customHeight="1" x14ac:dyDescent="0.3"/>
    <row r="253" s="86" customFormat="1" ht="15.75" customHeight="1" x14ac:dyDescent="0.3"/>
    <row r="254" s="86" customFormat="1" ht="15.75" customHeight="1" x14ac:dyDescent="0.3"/>
    <row r="255" s="86" customFormat="1" ht="15.75" customHeight="1" x14ac:dyDescent="0.3"/>
    <row r="256" s="86" customFormat="1" ht="15.75" customHeight="1" x14ac:dyDescent="0.3"/>
    <row r="257" s="86" customFormat="1" ht="15.75" customHeight="1" x14ac:dyDescent="0.3"/>
    <row r="258" s="86" customFormat="1" ht="15.75" customHeight="1" x14ac:dyDescent="0.3"/>
    <row r="259" s="86" customFormat="1" ht="15.75" customHeight="1" x14ac:dyDescent="0.3"/>
    <row r="260" s="86" customFormat="1" ht="15.75" customHeight="1" x14ac:dyDescent="0.3"/>
    <row r="261" s="86" customFormat="1" ht="15.75" customHeight="1" x14ac:dyDescent="0.3"/>
    <row r="262" s="86" customFormat="1" ht="15.75" customHeight="1" x14ac:dyDescent="0.3"/>
    <row r="263" s="86" customFormat="1" ht="15.75" customHeight="1" x14ac:dyDescent="0.3"/>
    <row r="264" s="86" customFormat="1" ht="15.75" customHeight="1" x14ac:dyDescent="0.3"/>
    <row r="265" s="86" customFormat="1" ht="15.75" customHeight="1" x14ac:dyDescent="0.3"/>
    <row r="266" s="86" customFormat="1" ht="15.75" customHeight="1" x14ac:dyDescent="0.3"/>
    <row r="267" s="86" customFormat="1" ht="15.75" customHeight="1" x14ac:dyDescent="0.3"/>
    <row r="268" s="86" customFormat="1" ht="15.75" customHeight="1" x14ac:dyDescent="0.3"/>
    <row r="269" s="86" customFormat="1" ht="15.75" customHeight="1" x14ac:dyDescent="0.3"/>
    <row r="270" s="86" customFormat="1" ht="15.75" customHeight="1" x14ac:dyDescent="0.3"/>
    <row r="271" s="86" customFormat="1" ht="15.75" customHeight="1" x14ac:dyDescent="0.3"/>
    <row r="272" s="86" customFormat="1" ht="15.75" customHeight="1" x14ac:dyDescent="0.3"/>
    <row r="273" s="86" customFormat="1" ht="15.75" customHeight="1" x14ac:dyDescent="0.3"/>
    <row r="274" s="86" customFormat="1" ht="15.75" customHeight="1" x14ac:dyDescent="0.3"/>
    <row r="275" s="86" customFormat="1" ht="15.75" customHeight="1" x14ac:dyDescent="0.3"/>
    <row r="276" s="86" customFormat="1" ht="15.75" customHeight="1" x14ac:dyDescent="0.3"/>
    <row r="277" s="86" customFormat="1" ht="15.75" customHeight="1" x14ac:dyDescent="0.3"/>
    <row r="278" s="86" customFormat="1" ht="15.75" customHeight="1" x14ac:dyDescent="0.3"/>
    <row r="279" s="86" customFormat="1" ht="15.75" customHeight="1" x14ac:dyDescent="0.3"/>
    <row r="280" s="86" customFormat="1" ht="15.75" customHeight="1" x14ac:dyDescent="0.3"/>
    <row r="281" s="86" customFormat="1" ht="15.75" customHeight="1" x14ac:dyDescent="0.3"/>
    <row r="282" s="86" customFormat="1" ht="15.75" customHeight="1" x14ac:dyDescent="0.3"/>
    <row r="283" s="86" customFormat="1" ht="15.75" customHeight="1" x14ac:dyDescent="0.3"/>
    <row r="284" s="86" customFormat="1" ht="15.75" customHeight="1" x14ac:dyDescent="0.3"/>
    <row r="285" s="86" customFormat="1" ht="15.75" customHeight="1" x14ac:dyDescent="0.3"/>
    <row r="286" s="86" customFormat="1" ht="15.75" customHeight="1" x14ac:dyDescent="0.3"/>
    <row r="287" s="86" customFormat="1" ht="15.75" customHeight="1" x14ac:dyDescent="0.3"/>
    <row r="288" s="86" customFormat="1" ht="15.75" customHeight="1" x14ac:dyDescent="0.3"/>
    <row r="289" s="86" customFormat="1" ht="15.75" customHeight="1" x14ac:dyDescent="0.3"/>
    <row r="290" s="86" customFormat="1" ht="15.75" customHeight="1" x14ac:dyDescent="0.3"/>
    <row r="291" s="86" customFormat="1" ht="15.75" customHeight="1" x14ac:dyDescent="0.3"/>
    <row r="292" s="86" customFormat="1" ht="15.75" customHeight="1" x14ac:dyDescent="0.3"/>
    <row r="293" s="86" customFormat="1" ht="15.75" customHeight="1" x14ac:dyDescent="0.3"/>
    <row r="294" s="86" customFormat="1" ht="15.75" customHeight="1" x14ac:dyDescent="0.3"/>
    <row r="295" s="86" customFormat="1" ht="15.75" customHeight="1" x14ac:dyDescent="0.3"/>
    <row r="296" s="86" customFormat="1" ht="15.75" customHeight="1" x14ac:dyDescent="0.3"/>
    <row r="297" s="86" customFormat="1" ht="15.75" customHeight="1" x14ac:dyDescent="0.3"/>
    <row r="298" s="86" customFormat="1" ht="15.75" customHeight="1" x14ac:dyDescent="0.3"/>
    <row r="299" s="86" customFormat="1" ht="15.75" customHeight="1" x14ac:dyDescent="0.3"/>
    <row r="300" s="86" customFormat="1" ht="15.75" customHeight="1" x14ac:dyDescent="0.3"/>
    <row r="301" s="86" customFormat="1" ht="15.75" customHeight="1" x14ac:dyDescent="0.3"/>
    <row r="302" s="86" customFormat="1" ht="15.75" customHeight="1" x14ac:dyDescent="0.3"/>
    <row r="303" s="86" customFormat="1" ht="15.75" customHeight="1" x14ac:dyDescent="0.3"/>
    <row r="304" s="86" customFormat="1" ht="15.75" customHeight="1" x14ac:dyDescent="0.3"/>
    <row r="305" s="86" customFormat="1" ht="15.75" customHeight="1" x14ac:dyDescent="0.3"/>
    <row r="306" s="86" customFormat="1" ht="15.75" customHeight="1" x14ac:dyDescent="0.3"/>
    <row r="307" s="86" customFormat="1" ht="15.75" customHeight="1" x14ac:dyDescent="0.3"/>
    <row r="308" s="86" customFormat="1" ht="15.75" customHeight="1" x14ac:dyDescent="0.3"/>
    <row r="309" s="86" customFormat="1" ht="15.75" customHeight="1" x14ac:dyDescent="0.3"/>
    <row r="310" s="86" customFormat="1" ht="15.75" customHeight="1" x14ac:dyDescent="0.3"/>
    <row r="311" s="86" customFormat="1" ht="15.75" customHeight="1" x14ac:dyDescent="0.3"/>
    <row r="312" s="86" customFormat="1" ht="15.75" customHeight="1" x14ac:dyDescent="0.3"/>
    <row r="313" s="86" customFormat="1" ht="15.75" customHeight="1" x14ac:dyDescent="0.3"/>
    <row r="314" s="86" customFormat="1" ht="15.75" customHeight="1" x14ac:dyDescent="0.3"/>
    <row r="315" s="86" customFormat="1" ht="15.75" customHeight="1" x14ac:dyDescent="0.3"/>
    <row r="316" s="86" customFormat="1" ht="15.75" customHeight="1" x14ac:dyDescent="0.3"/>
    <row r="317" s="86" customFormat="1" ht="15.75" customHeight="1" x14ac:dyDescent="0.3"/>
    <row r="318" s="86" customFormat="1" ht="15.75" customHeight="1" x14ac:dyDescent="0.3"/>
    <row r="319" s="86" customFormat="1" ht="15.75" customHeight="1" x14ac:dyDescent="0.3"/>
    <row r="320" s="86" customFormat="1" ht="15.75" customHeight="1" x14ac:dyDescent="0.3"/>
    <row r="321" s="86" customFormat="1" ht="15.75" customHeight="1" x14ac:dyDescent="0.3"/>
    <row r="322" s="86" customFormat="1" ht="15.75" customHeight="1" x14ac:dyDescent="0.3"/>
    <row r="323" s="86" customFormat="1" ht="15.75" customHeight="1" x14ac:dyDescent="0.3"/>
    <row r="324" s="86" customFormat="1" ht="15.75" customHeight="1" x14ac:dyDescent="0.3"/>
    <row r="325" s="86" customFormat="1" ht="15.75" customHeight="1" x14ac:dyDescent="0.3"/>
    <row r="326" s="86" customFormat="1" ht="15.75" customHeight="1" x14ac:dyDescent="0.3"/>
    <row r="327" s="86" customFormat="1" ht="15.75" customHeight="1" x14ac:dyDescent="0.3"/>
    <row r="328" s="86" customFormat="1" ht="15.75" customHeight="1" x14ac:dyDescent="0.3"/>
    <row r="329" s="86" customFormat="1" ht="15.75" customHeight="1" x14ac:dyDescent="0.3"/>
    <row r="330" s="86" customFormat="1" ht="15.75" customHeight="1" x14ac:dyDescent="0.3"/>
    <row r="331" s="86" customFormat="1" ht="15.75" customHeight="1" x14ac:dyDescent="0.3"/>
    <row r="332" s="86" customFormat="1" ht="15.75" customHeight="1" x14ac:dyDescent="0.3"/>
    <row r="333" s="86" customFormat="1" ht="15.75" customHeight="1" x14ac:dyDescent="0.3"/>
    <row r="334" s="86" customFormat="1" ht="15.75" customHeight="1" x14ac:dyDescent="0.3"/>
    <row r="335" s="86" customFormat="1" ht="15.75" customHeight="1" x14ac:dyDescent="0.3"/>
    <row r="336" s="86" customFormat="1" ht="15.75" customHeight="1" x14ac:dyDescent="0.3"/>
    <row r="337" s="86" customFormat="1" ht="15.75" customHeight="1" x14ac:dyDescent="0.3"/>
    <row r="338" s="86" customFormat="1" ht="15.75" customHeight="1" x14ac:dyDescent="0.3"/>
    <row r="339" s="86" customFormat="1" ht="15.75" customHeight="1" x14ac:dyDescent="0.3"/>
    <row r="340" s="86" customFormat="1" ht="15.75" customHeight="1" x14ac:dyDescent="0.3"/>
    <row r="341" s="86" customFormat="1" ht="15.75" customHeight="1" x14ac:dyDescent="0.3"/>
    <row r="342" s="86" customFormat="1" ht="15.75" customHeight="1" x14ac:dyDescent="0.3"/>
    <row r="343" s="86" customFormat="1" ht="15.75" customHeight="1" x14ac:dyDescent="0.3"/>
    <row r="344" s="86" customFormat="1" ht="15.75" customHeight="1" x14ac:dyDescent="0.3"/>
    <row r="345" s="86" customFormat="1" ht="15.75" customHeight="1" x14ac:dyDescent="0.3"/>
    <row r="346" s="86" customFormat="1" ht="15.75" customHeight="1" x14ac:dyDescent="0.3"/>
    <row r="347" s="86" customFormat="1" ht="15.75" customHeight="1" x14ac:dyDescent="0.3"/>
    <row r="348" s="86" customFormat="1" ht="15.75" customHeight="1" x14ac:dyDescent="0.3"/>
    <row r="349" s="86" customFormat="1" ht="15.75" customHeight="1" x14ac:dyDescent="0.3"/>
    <row r="350" s="86" customFormat="1" ht="15.75" customHeight="1" x14ac:dyDescent="0.3"/>
    <row r="351" s="86" customFormat="1" ht="15.75" customHeight="1" x14ac:dyDescent="0.3"/>
    <row r="352" s="86" customFormat="1" ht="15.75" customHeight="1" x14ac:dyDescent="0.3"/>
    <row r="353" s="86" customFormat="1" ht="15.75" customHeight="1" x14ac:dyDescent="0.3"/>
    <row r="354" s="86" customFormat="1" ht="15.75" customHeight="1" x14ac:dyDescent="0.3"/>
    <row r="355" s="86" customFormat="1" ht="15.75" customHeight="1" x14ac:dyDescent="0.3"/>
    <row r="356" s="86" customFormat="1" ht="15.75" customHeight="1" x14ac:dyDescent="0.3"/>
    <row r="357" s="86" customFormat="1" ht="15.75" customHeight="1" x14ac:dyDescent="0.3"/>
    <row r="358" s="86" customFormat="1" ht="15.75" customHeight="1" x14ac:dyDescent="0.3"/>
    <row r="359" s="86" customFormat="1" ht="15.75" customHeight="1" x14ac:dyDescent="0.3"/>
    <row r="360" s="86" customFormat="1" ht="15.75" customHeight="1" x14ac:dyDescent="0.3"/>
    <row r="361" s="86" customFormat="1" ht="15.75" customHeight="1" x14ac:dyDescent="0.3"/>
    <row r="362" s="86" customFormat="1" ht="15.75" customHeight="1" x14ac:dyDescent="0.3"/>
    <row r="363" s="86" customFormat="1" ht="15.75" customHeight="1" x14ac:dyDescent="0.3"/>
    <row r="364" s="86" customFormat="1" ht="15.75" customHeight="1" x14ac:dyDescent="0.3"/>
    <row r="365" s="86" customFormat="1" ht="15.75" customHeight="1" x14ac:dyDescent="0.3"/>
    <row r="366" s="86" customFormat="1" ht="15.75" customHeight="1" x14ac:dyDescent="0.3"/>
    <row r="367" s="86" customFormat="1" ht="15.75" customHeight="1" x14ac:dyDescent="0.3"/>
    <row r="368" s="86" customFormat="1" ht="15.75" customHeight="1" x14ac:dyDescent="0.3"/>
    <row r="369" s="86" customFormat="1" ht="15.75" customHeight="1" x14ac:dyDescent="0.3"/>
    <row r="370" s="86" customFormat="1" ht="15.75" customHeight="1" x14ac:dyDescent="0.3"/>
    <row r="371" s="86" customFormat="1" ht="15.75" customHeight="1" x14ac:dyDescent="0.3"/>
    <row r="372" s="86" customFormat="1" ht="15.75" customHeight="1" x14ac:dyDescent="0.3"/>
    <row r="373" s="86" customFormat="1" ht="15.75" customHeight="1" x14ac:dyDescent="0.3"/>
    <row r="374" s="86" customFormat="1" ht="15.75" customHeight="1" x14ac:dyDescent="0.3"/>
    <row r="375" s="86" customFormat="1" ht="15.75" customHeight="1" x14ac:dyDescent="0.3"/>
    <row r="376" s="86" customFormat="1" ht="15.75" customHeight="1" x14ac:dyDescent="0.3"/>
    <row r="377" s="86" customFormat="1" ht="15.75" customHeight="1" x14ac:dyDescent="0.3"/>
    <row r="378" s="86" customFormat="1" ht="15.75" customHeight="1" x14ac:dyDescent="0.3"/>
    <row r="379" s="86" customFormat="1" ht="15.75" customHeight="1" x14ac:dyDescent="0.3"/>
    <row r="380" s="86" customFormat="1" ht="15.75" customHeight="1" x14ac:dyDescent="0.3"/>
    <row r="381" s="86" customFormat="1" ht="15.75" customHeight="1" x14ac:dyDescent="0.3"/>
    <row r="382" s="86" customFormat="1" ht="15.75" customHeight="1" x14ac:dyDescent="0.3"/>
    <row r="383" s="86" customFormat="1" ht="15.75" customHeight="1" x14ac:dyDescent="0.3"/>
    <row r="384" s="86" customFormat="1" ht="15.75" customHeight="1" x14ac:dyDescent="0.3"/>
    <row r="385" s="86" customFormat="1" ht="15.75" customHeight="1" x14ac:dyDescent="0.3"/>
    <row r="386" s="86" customFormat="1" ht="15.75" customHeight="1" x14ac:dyDescent="0.3"/>
    <row r="387" s="86" customFormat="1" ht="15.75" customHeight="1" x14ac:dyDescent="0.3"/>
    <row r="388" s="86" customFormat="1" ht="15.75" customHeight="1" x14ac:dyDescent="0.3"/>
    <row r="389" s="86" customFormat="1" ht="15.75" customHeight="1" x14ac:dyDescent="0.3"/>
    <row r="390" s="86" customFormat="1" ht="15.75" customHeight="1" x14ac:dyDescent="0.3"/>
    <row r="391" s="86" customFormat="1" ht="15.75" customHeight="1" x14ac:dyDescent="0.3"/>
    <row r="392" s="86" customFormat="1" ht="15.75" customHeight="1" x14ac:dyDescent="0.3"/>
    <row r="393" s="86" customFormat="1" ht="15.75" customHeight="1" x14ac:dyDescent="0.3"/>
    <row r="394" s="86" customFormat="1" ht="15.75" customHeight="1" x14ac:dyDescent="0.3"/>
    <row r="395" s="86" customFormat="1" ht="15.75" customHeight="1" x14ac:dyDescent="0.3"/>
    <row r="396" s="86" customFormat="1" ht="15.75" customHeight="1" x14ac:dyDescent="0.3"/>
    <row r="397" s="86" customFormat="1" ht="15.75" customHeight="1" x14ac:dyDescent="0.3"/>
    <row r="398" s="86" customFormat="1" ht="15.75" customHeight="1" x14ac:dyDescent="0.3"/>
    <row r="399" s="86" customFormat="1" ht="15.75" customHeight="1" x14ac:dyDescent="0.3"/>
    <row r="400" s="86" customFormat="1" ht="15.75" customHeight="1" x14ac:dyDescent="0.3"/>
    <row r="401" s="86" customFormat="1" ht="15.75" customHeight="1" x14ac:dyDescent="0.3"/>
    <row r="402" s="86" customFormat="1" ht="15.75" customHeight="1" x14ac:dyDescent="0.3"/>
    <row r="403" s="86" customFormat="1" ht="15.75" customHeight="1" x14ac:dyDescent="0.3"/>
    <row r="404" s="86" customFormat="1" ht="15.75" customHeight="1" x14ac:dyDescent="0.3"/>
    <row r="405" s="86" customFormat="1" ht="15.75" customHeight="1" x14ac:dyDescent="0.3"/>
    <row r="406" s="86" customFormat="1" ht="15.75" customHeight="1" x14ac:dyDescent="0.3"/>
    <row r="407" s="86" customFormat="1" ht="15.75" customHeight="1" x14ac:dyDescent="0.3"/>
    <row r="408" s="86" customFormat="1" ht="15.75" customHeight="1" x14ac:dyDescent="0.3"/>
    <row r="409" s="86" customFormat="1" ht="15.75" customHeight="1" x14ac:dyDescent="0.3"/>
    <row r="410" s="86" customFormat="1" ht="15.75" customHeight="1" x14ac:dyDescent="0.3"/>
    <row r="411" s="86" customFormat="1" ht="15.75" customHeight="1" x14ac:dyDescent="0.3"/>
    <row r="412" s="86" customFormat="1" ht="15.75" customHeight="1" x14ac:dyDescent="0.3"/>
    <row r="413" s="86" customFormat="1" ht="15.75" customHeight="1" x14ac:dyDescent="0.3"/>
    <row r="414" s="86" customFormat="1" ht="15.75" customHeight="1" x14ac:dyDescent="0.3"/>
    <row r="415" s="86" customFormat="1" ht="15.75" customHeight="1" x14ac:dyDescent="0.3"/>
    <row r="416" s="86" customFormat="1" ht="15.75" customHeight="1" x14ac:dyDescent="0.3"/>
    <row r="417" s="86" customFormat="1" ht="15.75" customHeight="1" x14ac:dyDescent="0.3"/>
    <row r="418" s="86" customFormat="1" ht="15.75" customHeight="1" x14ac:dyDescent="0.3"/>
    <row r="419" s="86" customFormat="1" ht="15.75" customHeight="1" x14ac:dyDescent="0.3"/>
    <row r="420" s="86" customFormat="1" ht="15.75" customHeight="1" x14ac:dyDescent="0.3"/>
    <row r="421" s="86" customFormat="1" ht="15.75" customHeight="1" x14ac:dyDescent="0.3"/>
    <row r="422" s="86" customFormat="1" ht="15.75" customHeight="1" x14ac:dyDescent="0.3"/>
    <row r="423" s="86" customFormat="1" ht="15.75" customHeight="1" x14ac:dyDescent="0.3"/>
    <row r="424" s="86" customFormat="1" ht="15.75" customHeight="1" x14ac:dyDescent="0.3"/>
    <row r="425" s="86" customFormat="1" ht="15.75" customHeight="1" x14ac:dyDescent="0.3"/>
    <row r="426" s="86" customFormat="1" ht="15.75" customHeight="1" x14ac:dyDescent="0.3"/>
    <row r="427" s="86" customFormat="1" ht="15.75" customHeight="1" x14ac:dyDescent="0.3"/>
    <row r="428" s="86" customFormat="1" ht="15.75" customHeight="1" x14ac:dyDescent="0.3"/>
    <row r="429" s="86" customFormat="1" ht="15.75" customHeight="1" x14ac:dyDescent="0.3"/>
    <row r="430" s="86" customFormat="1" ht="15.75" customHeight="1" x14ac:dyDescent="0.3"/>
    <row r="431" s="86" customFormat="1" ht="15.75" customHeight="1" x14ac:dyDescent="0.3"/>
    <row r="432" s="86" customFormat="1" ht="15.75" customHeight="1" x14ac:dyDescent="0.3"/>
    <row r="433" s="86" customFormat="1" ht="15.75" customHeight="1" x14ac:dyDescent="0.3"/>
    <row r="434" s="86" customFormat="1" ht="15.75" customHeight="1" x14ac:dyDescent="0.3"/>
    <row r="435" s="86" customFormat="1" ht="15.75" customHeight="1" x14ac:dyDescent="0.3"/>
    <row r="436" s="86" customFormat="1" ht="15.75" customHeight="1" x14ac:dyDescent="0.3"/>
    <row r="437" s="86" customFormat="1" ht="15.75" customHeight="1" x14ac:dyDescent="0.3"/>
    <row r="438" s="86" customFormat="1" ht="15.75" customHeight="1" x14ac:dyDescent="0.3"/>
    <row r="439" s="86" customFormat="1" ht="15.75" customHeight="1" x14ac:dyDescent="0.3"/>
    <row r="440" s="86" customFormat="1" ht="15.75" customHeight="1" x14ac:dyDescent="0.3"/>
    <row r="441" s="86" customFormat="1" ht="15.75" customHeight="1" x14ac:dyDescent="0.3"/>
    <row r="442" s="86" customFormat="1" ht="15.75" customHeight="1" x14ac:dyDescent="0.3"/>
    <row r="443" s="86" customFormat="1" ht="15.75" customHeight="1" x14ac:dyDescent="0.3"/>
    <row r="444" s="86" customFormat="1" ht="15.75" customHeight="1" x14ac:dyDescent="0.3"/>
    <row r="445" s="86" customFormat="1" ht="15.75" customHeight="1" x14ac:dyDescent="0.3"/>
    <row r="446" s="86" customFormat="1" ht="15.75" customHeight="1" x14ac:dyDescent="0.3"/>
    <row r="447" s="86" customFormat="1" ht="15.75" customHeight="1" x14ac:dyDescent="0.3"/>
    <row r="448" s="86" customFormat="1" ht="15.75" customHeight="1" x14ac:dyDescent="0.3"/>
    <row r="449" s="86" customFormat="1" ht="15.75" customHeight="1" x14ac:dyDescent="0.3"/>
    <row r="450" s="86" customFormat="1" ht="15.75" customHeight="1" x14ac:dyDescent="0.3"/>
    <row r="451" s="86" customFormat="1" ht="15.75" customHeight="1" x14ac:dyDescent="0.3"/>
    <row r="452" s="86" customFormat="1" ht="15.75" customHeight="1" x14ac:dyDescent="0.3"/>
    <row r="453" s="86" customFormat="1" ht="15.75" customHeight="1" x14ac:dyDescent="0.3"/>
    <row r="454" s="86" customFormat="1" ht="15.75" customHeight="1" x14ac:dyDescent="0.3"/>
    <row r="455" s="86" customFormat="1" ht="15.75" customHeight="1" x14ac:dyDescent="0.3"/>
    <row r="456" s="86" customFormat="1" ht="15.75" customHeight="1" x14ac:dyDescent="0.3"/>
    <row r="457" s="86" customFormat="1" ht="15.75" customHeight="1" x14ac:dyDescent="0.3"/>
    <row r="458" s="86" customFormat="1" ht="15.75" customHeight="1" x14ac:dyDescent="0.3"/>
    <row r="459" s="86" customFormat="1" ht="15.75" customHeight="1" x14ac:dyDescent="0.3"/>
    <row r="460" s="86" customFormat="1" ht="15.75" customHeight="1" x14ac:dyDescent="0.3"/>
    <row r="461" s="86" customFormat="1" ht="15.75" customHeight="1" x14ac:dyDescent="0.3"/>
    <row r="462" s="86" customFormat="1" ht="15.75" customHeight="1" x14ac:dyDescent="0.3"/>
    <row r="463" s="86" customFormat="1" ht="15.75" customHeight="1" x14ac:dyDescent="0.3"/>
    <row r="464" s="86" customFormat="1" ht="15.75" customHeight="1" x14ac:dyDescent="0.3"/>
    <row r="465" s="86" customFormat="1" ht="15.75" customHeight="1" x14ac:dyDescent="0.3"/>
    <row r="466" s="86" customFormat="1" ht="15.75" customHeight="1" x14ac:dyDescent="0.3"/>
    <row r="467" s="86" customFormat="1" ht="15.75" customHeight="1" x14ac:dyDescent="0.3"/>
    <row r="468" s="86" customFormat="1" ht="15.75" customHeight="1" x14ac:dyDescent="0.3"/>
    <row r="469" s="86" customFormat="1" ht="15.75" customHeight="1" x14ac:dyDescent="0.3"/>
    <row r="470" s="86" customFormat="1" ht="15.75" customHeight="1" x14ac:dyDescent="0.3"/>
    <row r="471" s="86" customFormat="1" ht="15.75" customHeight="1" x14ac:dyDescent="0.3"/>
    <row r="472" s="86" customFormat="1" ht="15.75" customHeight="1" x14ac:dyDescent="0.3"/>
    <row r="473" s="86" customFormat="1" ht="15.75" customHeight="1" x14ac:dyDescent="0.3"/>
    <row r="474" s="86" customFormat="1" ht="15.75" customHeight="1" x14ac:dyDescent="0.3"/>
    <row r="475" s="86" customFormat="1" ht="15.75" customHeight="1" x14ac:dyDescent="0.3"/>
    <row r="476" s="86" customFormat="1" ht="15.75" customHeight="1" x14ac:dyDescent="0.3"/>
    <row r="477" s="86" customFormat="1" ht="15.75" customHeight="1" x14ac:dyDescent="0.3"/>
    <row r="478" s="86" customFormat="1" ht="15.75" customHeight="1" x14ac:dyDescent="0.3"/>
    <row r="479" s="86" customFormat="1" ht="15.75" customHeight="1" x14ac:dyDescent="0.3"/>
    <row r="480" s="86" customFormat="1" ht="15.75" customHeight="1" x14ac:dyDescent="0.3"/>
    <row r="481" s="86" customFormat="1" ht="15.75" customHeight="1" x14ac:dyDescent="0.3"/>
    <row r="482" s="86" customFormat="1" ht="15.75" customHeight="1" x14ac:dyDescent="0.3"/>
    <row r="483" s="86" customFormat="1" ht="15.75" customHeight="1" x14ac:dyDescent="0.3"/>
    <row r="484" s="86" customFormat="1" ht="15.75" customHeight="1" x14ac:dyDescent="0.3"/>
    <row r="485" s="86" customFormat="1" ht="15.75" customHeight="1" x14ac:dyDescent="0.3"/>
    <row r="486" s="86" customFormat="1" ht="15.75" customHeight="1" x14ac:dyDescent="0.3"/>
    <row r="487" s="86" customFormat="1" ht="15.75" customHeight="1" x14ac:dyDescent="0.3"/>
    <row r="488" s="86" customFormat="1" ht="15.75" customHeight="1" x14ac:dyDescent="0.3"/>
    <row r="489" s="86" customFormat="1" ht="15.75" customHeight="1" x14ac:dyDescent="0.3"/>
    <row r="490" s="86" customFormat="1" ht="15.75" customHeight="1" x14ac:dyDescent="0.3"/>
    <row r="491" s="86" customFormat="1" ht="15.75" customHeight="1" x14ac:dyDescent="0.3"/>
    <row r="492" s="86" customFormat="1" ht="15.75" customHeight="1" x14ac:dyDescent="0.3"/>
    <row r="493" s="86" customFormat="1" ht="15.75" customHeight="1" x14ac:dyDescent="0.3"/>
    <row r="494" s="86" customFormat="1" ht="15.75" customHeight="1" x14ac:dyDescent="0.3"/>
    <row r="495" s="86" customFormat="1" ht="15.75" customHeight="1" x14ac:dyDescent="0.3"/>
    <row r="496" s="86" customFormat="1" ht="15.75" customHeight="1" x14ac:dyDescent="0.3"/>
    <row r="497" s="86" customFormat="1" ht="15.75" customHeight="1" x14ac:dyDescent="0.3"/>
    <row r="498" s="86" customFormat="1" ht="15.75" customHeight="1" x14ac:dyDescent="0.3"/>
    <row r="499" s="86" customFormat="1" ht="15.75" customHeight="1" x14ac:dyDescent="0.3"/>
    <row r="500" s="86" customFormat="1" ht="15.75" customHeight="1" x14ac:dyDescent="0.3"/>
    <row r="501" s="86" customFormat="1" ht="15.75" customHeight="1" x14ac:dyDescent="0.3"/>
    <row r="502" s="86" customFormat="1" ht="15.75" customHeight="1" x14ac:dyDescent="0.3"/>
    <row r="503" s="86" customFormat="1" ht="15.75" customHeight="1" x14ac:dyDescent="0.3"/>
    <row r="504" s="86" customFormat="1" ht="15.75" customHeight="1" x14ac:dyDescent="0.3"/>
    <row r="505" s="86" customFormat="1" ht="15.75" customHeight="1" x14ac:dyDescent="0.3"/>
    <row r="506" s="86" customFormat="1" ht="15.75" customHeight="1" x14ac:dyDescent="0.3"/>
    <row r="507" s="86" customFormat="1" ht="15.75" customHeight="1" x14ac:dyDescent="0.3"/>
    <row r="508" s="86" customFormat="1" ht="15.75" customHeight="1" x14ac:dyDescent="0.3"/>
    <row r="509" s="86" customFormat="1" ht="15.75" customHeight="1" x14ac:dyDescent="0.3"/>
    <row r="510" s="86" customFormat="1" ht="15.75" customHeight="1" x14ac:dyDescent="0.3"/>
    <row r="511" s="86" customFormat="1" ht="15.75" customHeight="1" x14ac:dyDescent="0.3"/>
    <row r="512" s="86" customFormat="1" ht="15.75" customHeight="1" x14ac:dyDescent="0.3"/>
    <row r="513" s="86" customFormat="1" ht="15.75" customHeight="1" x14ac:dyDescent="0.3"/>
    <row r="514" s="86" customFormat="1" ht="15.75" customHeight="1" x14ac:dyDescent="0.3"/>
    <row r="515" s="86" customFormat="1" ht="15.75" customHeight="1" x14ac:dyDescent="0.3"/>
    <row r="516" s="86" customFormat="1" ht="15.75" customHeight="1" x14ac:dyDescent="0.3"/>
    <row r="517" s="86" customFormat="1" ht="15.75" customHeight="1" x14ac:dyDescent="0.3"/>
    <row r="518" s="86" customFormat="1" ht="15.75" customHeight="1" x14ac:dyDescent="0.3"/>
    <row r="519" s="86" customFormat="1" ht="15.75" customHeight="1" x14ac:dyDescent="0.3"/>
    <row r="520" s="86" customFormat="1" ht="15.75" customHeight="1" x14ac:dyDescent="0.3"/>
    <row r="521" s="86" customFormat="1" ht="15.75" customHeight="1" x14ac:dyDescent="0.3"/>
    <row r="522" s="86" customFormat="1" ht="15.75" customHeight="1" x14ac:dyDescent="0.3"/>
    <row r="523" s="86" customFormat="1" ht="15.75" customHeight="1" x14ac:dyDescent="0.3"/>
    <row r="524" s="86" customFormat="1" ht="15.75" customHeight="1" x14ac:dyDescent="0.3"/>
    <row r="525" s="86" customFormat="1" ht="15.75" customHeight="1" x14ac:dyDescent="0.3"/>
    <row r="526" s="86" customFormat="1" ht="15.75" customHeight="1" x14ac:dyDescent="0.3"/>
    <row r="527" s="86" customFormat="1" ht="15.75" customHeight="1" x14ac:dyDescent="0.3"/>
    <row r="528" s="86" customFormat="1" ht="15.75" customHeight="1" x14ac:dyDescent="0.3"/>
    <row r="529" s="86" customFormat="1" ht="15.75" customHeight="1" x14ac:dyDescent="0.3"/>
    <row r="530" s="86" customFormat="1" ht="15.75" customHeight="1" x14ac:dyDescent="0.3"/>
    <row r="531" s="86" customFormat="1" ht="15.75" customHeight="1" x14ac:dyDescent="0.3"/>
    <row r="532" s="86" customFormat="1" ht="15.75" customHeight="1" x14ac:dyDescent="0.3"/>
    <row r="533" s="86" customFormat="1" ht="15.75" customHeight="1" x14ac:dyDescent="0.3"/>
    <row r="534" s="86" customFormat="1" ht="15.75" customHeight="1" x14ac:dyDescent="0.3"/>
    <row r="535" s="86" customFormat="1" ht="15.75" customHeight="1" x14ac:dyDescent="0.3"/>
    <row r="536" s="86" customFormat="1" ht="15.75" customHeight="1" x14ac:dyDescent="0.3"/>
    <row r="537" s="86" customFormat="1" ht="15.75" customHeight="1" x14ac:dyDescent="0.3"/>
    <row r="538" s="86" customFormat="1" ht="15.75" customHeight="1" x14ac:dyDescent="0.3"/>
    <row r="539" s="86" customFormat="1" ht="15.75" customHeight="1" x14ac:dyDescent="0.3"/>
    <row r="540" s="86" customFormat="1" ht="15.75" customHeight="1" x14ac:dyDescent="0.3"/>
    <row r="541" s="86" customFormat="1" ht="15.75" customHeight="1" x14ac:dyDescent="0.3"/>
    <row r="542" s="86" customFormat="1" ht="15.75" customHeight="1" x14ac:dyDescent="0.3"/>
    <row r="543" s="86" customFormat="1" ht="15.75" customHeight="1" x14ac:dyDescent="0.3"/>
    <row r="544" s="86" customFormat="1" ht="15.75" customHeight="1" x14ac:dyDescent="0.3"/>
    <row r="545" s="86" customFormat="1" ht="15.75" customHeight="1" x14ac:dyDescent="0.3"/>
    <row r="546" s="86" customFormat="1" ht="15.75" customHeight="1" x14ac:dyDescent="0.3"/>
    <row r="547" s="86" customFormat="1" ht="15.75" customHeight="1" x14ac:dyDescent="0.3"/>
    <row r="548" s="86" customFormat="1" ht="15.75" customHeight="1" x14ac:dyDescent="0.3"/>
    <row r="549" s="86" customFormat="1" ht="15.75" customHeight="1" x14ac:dyDescent="0.3"/>
    <row r="550" s="86" customFormat="1" ht="15.75" customHeight="1" x14ac:dyDescent="0.3"/>
    <row r="551" s="86" customFormat="1" ht="15.75" customHeight="1" x14ac:dyDescent="0.3"/>
    <row r="552" s="86" customFormat="1" ht="15.75" customHeight="1" x14ac:dyDescent="0.3"/>
    <row r="553" s="86" customFormat="1" ht="15.75" customHeight="1" x14ac:dyDescent="0.3"/>
    <row r="554" s="86" customFormat="1" ht="15.75" customHeight="1" x14ac:dyDescent="0.3"/>
    <row r="555" s="86" customFormat="1" ht="15.75" customHeight="1" x14ac:dyDescent="0.3"/>
    <row r="556" s="86" customFormat="1" ht="15.75" customHeight="1" x14ac:dyDescent="0.3"/>
    <row r="557" s="86" customFormat="1" ht="15.75" customHeight="1" x14ac:dyDescent="0.3"/>
    <row r="558" s="86" customFormat="1" ht="15.75" customHeight="1" x14ac:dyDescent="0.3"/>
    <row r="559" s="86" customFormat="1" ht="15.75" customHeight="1" x14ac:dyDescent="0.3"/>
    <row r="560" s="86" customFormat="1" ht="15.75" customHeight="1" x14ac:dyDescent="0.3"/>
    <row r="561" s="86" customFormat="1" ht="15.75" customHeight="1" x14ac:dyDescent="0.3"/>
    <row r="562" s="86" customFormat="1" ht="15.75" customHeight="1" x14ac:dyDescent="0.3"/>
    <row r="563" s="86" customFormat="1" ht="15.75" customHeight="1" x14ac:dyDescent="0.3"/>
    <row r="564" s="86" customFormat="1" ht="15.75" customHeight="1" x14ac:dyDescent="0.3"/>
    <row r="565" s="86" customFormat="1" ht="15.75" customHeight="1" x14ac:dyDescent="0.3"/>
    <row r="566" s="86" customFormat="1" ht="15.75" customHeight="1" x14ac:dyDescent="0.3"/>
    <row r="567" s="86" customFormat="1" ht="15.75" customHeight="1" x14ac:dyDescent="0.3"/>
    <row r="568" s="86" customFormat="1" ht="15.75" customHeight="1" x14ac:dyDescent="0.3"/>
    <row r="569" s="86" customFormat="1" ht="15.75" customHeight="1" x14ac:dyDescent="0.3"/>
    <row r="570" s="86" customFormat="1" ht="15.75" customHeight="1" x14ac:dyDescent="0.3"/>
    <row r="571" s="86" customFormat="1" ht="15.75" customHeight="1" x14ac:dyDescent="0.3"/>
    <row r="572" s="86" customFormat="1" ht="15.75" customHeight="1" x14ac:dyDescent="0.3"/>
    <row r="573" s="86" customFormat="1" ht="15.75" customHeight="1" x14ac:dyDescent="0.3"/>
    <row r="574" s="86" customFormat="1" ht="15.75" customHeight="1" x14ac:dyDescent="0.3"/>
    <row r="575" s="86" customFormat="1" ht="15.75" customHeight="1" x14ac:dyDescent="0.3"/>
    <row r="576" s="86" customFormat="1" ht="15.75" customHeight="1" x14ac:dyDescent="0.3"/>
    <row r="577" s="86" customFormat="1" ht="15.75" customHeight="1" x14ac:dyDescent="0.3"/>
    <row r="578" s="86" customFormat="1" ht="15.75" customHeight="1" x14ac:dyDescent="0.3"/>
    <row r="579" s="86" customFormat="1" ht="15.75" customHeight="1" x14ac:dyDescent="0.3"/>
    <row r="580" s="86" customFormat="1" ht="15.75" customHeight="1" x14ac:dyDescent="0.3"/>
    <row r="581" s="86" customFormat="1" ht="15.75" customHeight="1" x14ac:dyDescent="0.3"/>
    <row r="582" s="86" customFormat="1" ht="15.75" customHeight="1" x14ac:dyDescent="0.3"/>
    <row r="583" s="86" customFormat="1" ht="15.75" customHeight="1" x14ac:dyDescent="0.3"/>
    <row r="584" s="86" customFormat="1" ht="15.75" customHeight="1" x14ac:dyDescent="0.3"/>
    <row r="585" s="86" customFormat="1" ht="15.75" customHeight="1" x14ac:dyDescent="0.3"/>
    <row r="586" s="86" customFormat="1" ht="15.75" customHeight="1" x14ac:dyDescent="0.3"/>
    <row r="587" s="86" customFormat="1" ht="15.75" customHeight="1" x14ac:dyDescent="0.3"/>
    <row r="588" s="86" customFormat="1" ht="15.75" customHeight="1" x14ac:dyDescent="0.3"/>
    <row r="589" s="86" customFormat="1" ht="15.75" customHeight="1" x14ac:dyDescent="0.3"/>
    <row r="590" s="86" customFormat="1" ht="15.75" customHeight="1" x14ac:dyDescent="0.3"/>
    <row r="591" s="86" customFormat="1" ht="15.75" customHeight="1" x14ac:dyDescent="0.3"/>
    <row r="592" s="86" customFormat="1" ht="15.75" customHeight="1" x14ac:dyDescent="0.3"/>
    <row r="593" s="86" customFormat="1" ht="15.75" customHeight="1" x14ac:dyDescent="0.3"/>
    <row r="594" s="86" customFormat="1" ht="15.75" customHeight="1" x14ac:dyDescent="0.3"/>
    <row r="595" s="86" customFormat="1" ht="15.75" customHeight="1" x14ac:dyDescent="0.3"/>
    <row r="596" s="86" customFormat="1" ht="15.75" customHeight="1" x14ac:dyDescent="0.3"/>
    <row r="597" s="86" customFormat="1" ht="15.75" customHeight="1" x14ac:dyDescent="0.3"/>
    <row r="598" s="86" customFormat="1" ht="15.75" customHeight="1" x14ac:dyDescent="0.3"/>
    <row r="599" s="86" customFormat="1" ht="15.75" customHeight="1" x14ac:dyDescent="0.3"/>
    <row r="600" s="86" customFormat="1" ht="15.75" customHeight="1" x14ac:dyDescent="0.3"/>
    <row r="601" s="86" customFormat="1" ht="15.75" customHeight="1" x14ac:dyDescent="0.3"/>
    <row r="602" s="86" customFormat="1" ht="15.75" customHeight="1" x14ac:dyDescent="0.3"/>
    <row r="603" s="86" customFormat="1" ht="15.75" customHeight="1" x14ac:dyDescent="0.3"/>
    <row r="604" s="86" customFormat="1" ht="15.75" customHeight="1" x14ac:dyDescent="0.3"/>
    <row r="605" s="86" customFormat="1" ht="15.75" customHeight="1" x14ac:dyDescent="0.3"/>
    <row r="606" s="86" customFormat="1" ht="15.75" customHeight="1" x14ac:dyDescent="0.3"/>
    <row r="607" s="86" customFormat="1" ht="15.75" customHeight="1" x14ac:dyDescent="0.3"/>
    <row r="608" s="86" customFormat="1" ht="15.75" customHeight="1" x14ac:dyDescent="0.3"/>
    <row r="609" s="86" customFormat="1" ht="15.75" customHeight="1" x14ac:dyDescent="0.3"/>
    <row r="610" s="86" customFormat="1" ht="15.75" customHeight="1" x14ac:dyDescent="0.3"/>
    <row r="611" s="86" customFormat="1" ht="15.75" customHeight="1" x14ac:dyDescent="0.3"/>
    <row r="612" s="86" customFormat="1" ht="15.75" customHeight="1" x14ac:dyDescent="0.3"/>
    <row r="613" s="86" customFormat="1" ht="15.75" customHeight="1" x14ac:dyDescent="0.3"/>
    <row r="614" s="86" customFormat="1" ht="15.75" customHeight="1" x14ac:dyDescent="0.3"/>
    <row r="615" s="86" customFormat="1" ht="15.75" customHeight="1" x14ac:dyDescent="0.3"/>
    <row r="616" s="86" customFormat="1" ht="15.75" customHeight="1" x14ac:dyDescent="0.3"/>
    <row r="617" s="86" customFormat="1" ht="15.75" customHeight="1" x14ac:dyDescent="0.3"/>
    <row r="618" s="86" customFormat="1" ht="15.75" customHeight="1" x14ac:dyDescent="0.3"/>
    <row r="619" s="86" customFormat="1" ht="15.75" customHeight="1" x14ac:dyDescent="0.3"/>
    <row r="620" s="86" customFormat="1" ht="15.75" customHeight="1" x14ac:dyDescent="0.3"/>
    <row r="621" s="86" customFormat="1" ht="15.75" customHeight="1" x14ac:dyDescent="0.3"/>
    <row r="622" s="86" customFormat="1" ht="15.75" customHeight="1" x14ac:dyDescent="0.3"/>
    <row r="623" s="86" customFormat="1" ht="15.75" customHeight="1" x14ac:dyDescent="0.3"/>
    <row r="624" s="86" customFormat="1" ht="15.75" customHeight="1" x14ac:dyDescent="0.3"/>
    <row r="625" s="86" customFormat="1" ht="15.75" customHeight="1" x14ac:dyDescent="0.3"/>
    <row r="626" s="86" customFormat="1" ht="15.75" customHeight="1" x14ac:dyDescent="0.3"/>
    <row r="627" s="86" customFormat="1" ht="15.75" customHeight="1" x14ac:dyDescent="0.3"/>
    <row r="628" s="86" customFormat="1" ht="15.75" customHeight="1" x14ac:dyDescent="0.3"/>
    <row r="629" s="86" customFormat="1" ht="15.75" customHeight="1" x14ac:dyDescent="0.3"/>
    <row r="630" s="86" customFormat="1" ht="15.75" customHeight="1" x14ac:dyDescent="0.3"/>
    <row r="631" s="86" customFormat="1" ht="15.75" customHeight="1" x14ac:dyDescent="0.3"/>
    <row r="632" s="86" customFormat="1" ht="15.75" customHeight="1" x14ac:dyDescent="0.3"/>
    <row r="633" s="86" customFormat="1" ht="15.75" customHeight="1" x14ac:dyDescent="0.3"/>
    <row r="634" s="86" customFormat="1" ht="15.75" customHeight="1" x14ac:dyDescent="0.3"/>
    <row r="635" s="86" customFormat="1" ht="15.75" customHeight="1" x14ac:dyDescent="0.3"/>
    <row r="636" s="86" customFormat="1" ht="15.75" customHeight="1" x14ac:dyDescent="0.3"/>
    <row r="637" s="86" customFormat="1" ht="15.75" customHeight="1" x14ac:dyDescent="0.3"/>
    <row r="638" s="86" customFormat="1" ht="15.75" customHeight="1" x14ac:dyDescent="0.3"/>
    <row r="639" s="86" customFormat="1" ht="15.75" customHeight="1" x14ac:dyDescent="0.3"/>
    <row r="640" s="86" customFormat="1" ht="15.75" customHeight="1" x14ac:dyDescent="0.3"/>
    <row r="641" s="86" customFormat="1" ht="15.75" customHeight="1" x14ac:dyDescent="0.3"/>
    <row r="642" s="86" customFormat="1" ht="15.75" customHeight="1" x14ac:dyDescent="0.3"/>
    <row r="643" s="86" customFormat="1" ht="15.75" customHeight="1" x14ac:dyDescent="0.3"/>
    <row r="644" s="86" customFormat="1" ht="15.75" customHeight="1" x14ac:dyDescent="0.3"/>
    <row r="645" s="86" customFormat="1" ht="15.75" customHeight="1" x14ac:dyDescent="0.3"/>
    <row r="646" s="86" customFormat="1" ht="15.75" customHeight="1" x14ac:dyDescent="0.3"/>
    <row r="647" s="86" customFormat="1" ht="15.75" customHeight="1" x14ac:dyDescent="0.3"/>
    <row r="648" s="86" customFormat="1" ht="15.75" customHeight="1" x14ac:dyDescent="0.3"/>
    <row r="649" s="86" customFormat="1" ht="15.75" customHeight="1" x14ac:dyDescent="0.3"/>
    <row r="650" s="86" customFormat="1" ht="15.75" customHeight="1" x14ac:dyDescent="0.3"/>
    <row r="651" s="86" customFormat="1" ht="15.75" customHeight="1" x14ac:dyDescent="0.3"/>
    <row r="652" s="86" customFormat="1" ht="15.75" customHeight="1" x14ac:dyDescent="0.3"/>
    <row r="653" s="86" customFormat="1" ht="15.75" customHeight="1" x14ac:dyDescent="0.3"/>
    <row r="654" s="86" customFormat="1" ht="15.75" customHeight="1" x14ac:dyDescent="0.3"/>
    <row r="655" s="86" customFormat="1" ht="15.75" customHeight="1" x14ac:dyDescent="0.3"/>
    <row r="656" s="86" customFormat="1" ht="15.75" customHeight="1" x14ac:dyDescent="0.3"/>
    <row r="657" s="86" customFormat="1" ht="15.75" customHeight="1" x14ac:dyDescent="0.3"/>
    <row r="658" s="86" customFormat="1" ht="15.75" customHeight="1" x14ac:dyDescent="0.3"/>
    <row r="659" s="86" customFormat="1" ht="15.75" customHeight="1" x14ac:dyDescent="0.3"/>
    <row r="660" s="86" customFormat="1" ht="15.75" customHeight="1" x14ac:dyDescent="0.3"/>
    <row r="661" s="86" customFormat="1" ht="15.75" customHeight="1" x14ac:dyDescent="0.3"/>
    <row r="662" s="86" customFormat="1" ht="15.75" customHeight="1" x14ac:dyDescent="0.3"/>
    <row r="663" s="86" customFormat="1" ht="15.75" customHeight="1" x14ac:dyDescent="0.3"/>
    <row r="664" s="86" customFormat="1" ht="15.75" customHeight="1" x14ac:dyDescent="0.3"/>
    <row r="665" s="86" customFormat="1" ht="15.75" customHeight="1" x14ac:dyDescent="0.3"/>
    <row r="666" s="86" customFormat="1" ht="15.75" customHeight="1" x14ac:dyDescent="0.3"/>
    <row r="667" s="86" customFormat="1" ht="15.75" customHeight="1" x14ac:dyDescent="0.3"/>
    <row r="668" s="86" customFormat="1" ht="15.75" customHeight="1" x14ac:dyDescent="0.3"/>
    <row r="669" s="86" customFormat="1" ht="15.75" customHeight="1" x14ac:dyDescent="0.3"/>
    <row r="670" s="86" customFormat="1" ht="15.75" customHeight="1" x14ac:dyDescent="0.3"/>
    <row r="671" s="86" customFormat="1" ht="15.75" customHeight="1" x14ac:dyDescent="0.3"/>
    <row r="672" s="86" customFormat="1" ht="15.75" customHeight="1" x14ac:dyDescent="0.3"/>
    <row r="673" s="86" customFormat="1" ht="15.75" customHeight="1" x14ac:dyDescent="0.3"/>
    <row r="674" s="86" customFormat="1" ht="15.75" customHeight="1" x14ac:dyDescent="0.3"/>
    <row r="675" s="86" customFormat="1" ht="15.75" customHeight="1" x14ac:dyDescent="0.3"/>
    <row r="676" s="86" customFormat="1" ht="15.75" customHeight="1" x14ac:dyDescent="0.3"/>
    <row r="677" s="86" customFormat="1" ht="15.75" customHeight="1" x14ac:dyDescent="0.3"/>
    <row r="678" s="86" customFormat="1" ht="15.75" customHeight="1" x14ac:dyDescent="0.3"/>
    <row r="679" s="86" customFormat="1" ht="15.75" customHeight="1" x14ac:dyDescent="0.3"/>
    <row r="680" s="86" customFormat="1" ht="15.75" customHeight="1" x14ac:dyDescent="0.3"/>
    <row r="681" s="86" customFormat="1" ht="15.75" customHeight="1" x14ac:dyDescent="0.3"/>
    <row r="682" s="86" customFormat="1" ht="15.75" customHeight="1" x14ac:dyDescent="0.3"/>
    <row r="683" s="86" customFormat="1" ht="15.75" customHeight="1" x14ac:dyDescent="0.3"/>
    <row r="684" s="86" customFormat="1" ht="15.75" customHeight="1" x14ac:dyDescent="0.3"/>
    <row r="685" s="86" customFormat="1" ht="15.75" customHeight="1" x14ac:dyDescent="0.3"/>
    <row r="686" s="86" customFormat="1" ht="15.75" customHeight="1" x14ac:dyDescent="0.3"/>
    <row r="687" s="86" customFormat="1" ht="15.75" customHeight="1" x14ac:dyDescent="0.3"/>
    <row r="688" s="86" customFormat="1" ht="15.75" customHeight="1" x14ac:dyDescent="0.3"/>
    <row r="689" s="86" customFormat="1" ht="15.75" customHeight="1" x14ac:dyDescent="0.3"/>
    <row r="690" s="86" customFormat="1" ht="15.75" customHeight="1" x14ac:dyDescent="0.3"/>
    <row r="691" s="86" customFormat="1" ht="15.75" customHeight="1" x14ac:dyDescent="0.3"/>
    <row r="692" s="86" customFormat="1" ht="15.75" customHeight="1" x14ac:dyDescent="0.3"/>
    <row r="693" s="86" customFormat="1" ht="15.75" customHeight="1" x14ac:dyDescent="0.3"/>
    <row r="694" s="86" customFormat="1" ht="15.75" customHeight="1" x14ac:dyDescent="0.3"/>
    <row r="695" s="86" customFormat="1" ht="15.75" customHeight="1" x14ac:dyDescent="0.3"/>
    <row r="696" s="86" customFormat="1" ht="15.75" customHeight="1" x14ac:dyDescent="0.3"/>
    <row r="697" s="86" customFormat="1" ht="15.75" customHeight="1" x14ac:dyDescent="0.3"/>
    <row r="698" s="86" customFormat="1" ht="15.75" customHeight="1" x14ac:dyDescent="0.3"/>
    <row r="699" s="86" customFormat="1" ht="15.75" customHeight="1" x14ac:dyDescent="0.3"/>
    <row r="700" s="86" customFormat="1" ht="15.75" customHeight="1" x14ac:dyDescent="0.3"/>
    <row r="701" s="86" customFormat="1" ht="15.75" customHeight="1" x14ac:dyDescent="0.3"/>
    <row r="702" s="86" customFormat="1" ht="15.75" customHeight="1" x14ac:dyDescent="0.3"/>
    <row r="703" s="86" customFormat="1" ht="15.75" customHeight="1" x14ac:dyDescent="0.3"/>
    <row r="704" s="86" customFormat="1" ht="15.75" customHeight="1" x14ac:dyDescent="0.3"/>
    <row r="705" s="86" customFormat="1" ht="15.75" customHeight="1" x14ac:dyDescent="0.3"/>
    <row r="706" s="86" customFormat="1" ht="15.75" customHeight="1" x14ac:dyDescent="0.3"/>
    <row r="707" s="86" customFormat="1" ht="15.75" customHeight="1" x14ac:dyDescent="0.3"/>
    <row r="708" s="86" customFormat="1" ht="15.75" customHeight="1" x14ac:dyDescent="0.3"/>
    <row r="709" s="86" customFormat="1" ht="15.75" customHeight="1" x14ac:dyDescent="0.3"/>
    <row r="710" s="86" customFormat="1" ht="15.75" customHeight="1" x14ac:dyDescent="0.3"/>
    <row r="711" s="86" customFormat="1" ht="15.75" customHeight="1" x14ac:dyDescent="0.3"/>
    <row r="712" s="86" customFormat="1" ht="15.75" customHeight="1" x14ac:dyDescent="0.3"/>
    <row r="713" s="86" customFormat="1" ht="15.75" customHeight="1" x14ac:dyDescent="0.3"/>
    <row r="714" s="86" customFormat="1" ht="15.75" customHeight="1" x14ac:dyDescent="0.3"/>
    <row r="715" s="86" customFormat="1" ht="15.75" customHeight="1" x14ac:dyDescent="0.3"/>
    <row r="716" s="86" customFormat="1" ht="15.75" customHeight="1" x14ac:dyDescent="0.3"/>
    <row r="717" s="86" customFormat="1" ht="15.75" customHeight="1" x14ac:dyDescent="0.3"/>
    <row r="718" s="86" customFormat="1" ht="15.75" customHeight="1" x14ac:dyDescent="0.3"/>
    <row r="719" s="86" customFormat="1" ht="15.75" customHeight="1" x14ac:dyDescent="0.3"/>
    <row r="720" s="86" customFormat="1" ht="15.75" customHeight="1" x14ac:dyDescent="0.3"/>
    <row r="721" s="86" customFormat="1" ht="15.75" customHeight="1" x14ac:dyDescent="0.3"/>
    <row r="722" s="86" customFormat="1" ht="15.75" customHeight="1" x14ac:dyDescent="0.3"/>
    <row r="723" s="86" customFormat="1" ht="15.75" customHeight="1" x14ac:dyDescent="0.3"/>
    <row r="724" s="86" customFormat="1" ht="15.75" customHeight="1" x14ac:dyDescent="0.3"/>
    <row r="725" s="86" customFormat="1" ht="15.75" customHeight="1" x14ac:dyDescent="0.3"/>
    <row r="726" s="86" customFormat="1" ht="15.75" customHeight="1" x14ac:dyDescent="0.3"/>
    <row r="727" s="86" customFormat="1" ht="15.75" customHeight="1" x14ac:dyDescent="0.3"/>
    <row r="728" s="86" customFormat="1" ht="15.75" customHeight="1" x14ac:dyDescent="0.3"/>
    <row r="729" s="86" customFormat="1" ht="15.75" customHeight="1" x14ac:dyDescent="0.3"/>
    <row r="730" s="86" customFormat="1" ht="15.75" customHeight="1" x14ac:dyDescent="0.3"/>
    <row r="731" s="86" customFormat="1" ht="15.75" customHeight="1" x14ac:dyDescent="0.3"/>
    <row r="732" s="86" customFormat="1" ht="15.75" customHeight="1" x14ac:dyDescent="0.3"/>
    <row r="733" s="86" customFormat="1" ht="15.75" customHeight="1" x14ac:dyDescent="0.3"/>
    <row r="734" s="86" customFormat="1" ht="15.75" customHeight="1" x14ac:dyDescent="0.3"/>
    <row r="735" s="86" customFormat="1" ht="15.75" customHeight="1" x14ac:dyDescent="0.3"/>
    <row r="736" s="86" customFormat="1" ht="15.75" customHeight="1" x14ac:dyDescent="0.3"/>
    <row r="737" s="86" customFormat="1" ht="15.75" customHeight="1" x14ac:dyDescent="0.3"/>
    <row r="738" s="86" customFormat="1" ht="15.75" customHeight="1" x14ac:dyDescent="0.3"/>
    <row r="739" s="86" customFormat="1" ht="15.75" customHeight="1" x14ac:dyDescent="0.3"/>
    <row r="740" s="86" customFormat="1" ht="15.75" customHeight="1" x14ac:dyDescent="0.3"/>
    <row r="741" s="86" customFormat="1" ht="15.75" customHeight="1" x14ac:dyDescent="0.3"/>
    <row r="742" s="86" customFormat="1" ht="15.75" customHeight="1" x14ac:dyDescent="0.3"/>
    <row r="743" s="86" customFormat="1" ht="15.75" customHeight="1" x14ac:dyDescent="0.3"/>
    <row r="744" s="86" customFormat="1" ht="15.75" customHeight="1" x14ac:dyDescent="0.3"/>
    <row r="745" s="86" customFormat="1" ht="15.75" customHeight="1" x14ac:dyDescent="0.3"/>
    <row r="746" s="86" customFormat="1" ht="15.75" customHeight="1" x14ac:dyDescent="0.3"/>
    <row r="747" s="86" customFormat="1" ht="15.75" customHeight="1" x14ac:dyDescent="0.3"/>
    <row r="748" s="86" customFormat="1" ht="15.75" customHeight="1" x14ac:dyDescent="0.3"/>
    <row r="749" s="86" customFormat="1" ht="15.75" customHeight="1" x14ac:dyDescent="0.3"/>
    <row r="750" s="86" customFormat="1" ht="15.75" customHeight="1" x14ac:dyDescent="0.3"/>
    <row r="751" s="86" customFormat="1" ht="15.75" customHeight="1" x14ac:dyDescent="0.3"/>
    <row r="752" s="86" customFormat="1" ht="15.75" customHeight="1" x14ac:dyDescent="0.3"/>
    <row r="753" s="86" customFormat="1" ht="15.75" customHeight="1" x14ac:dyDescent="0.3"/>
    <row r="754" s="86" customFormat="1" ht="15.75" customHeight="1" x14ac:dyDescent="0.3"/>
    <row r="755" s="86" customFormat="1" ht="15.75" customHeight="1" x14ac:dyDescent="0.3"/>
    <row r="756" s="86" customFormat="1" ht="15.75" customHeight="1" x14ac:dyDescent="0.3"/>
    <row r="757" s="86" customFormat="1" ht="15.75" customHeight="1" x14ac:dyDescent="0.3"/>
    <row r="758" s="86" customFormat="1" ht="15.75" customHeight="1" x14ac:dyDescent="0.3"/>
    <row r="759" s="86" customFormat="1" ht="15.75" customHeight="1" x14ac:dyDescent="0.3"/>
    <row r="760" s="86" customFormat="1" ht="15.75" customHeight="1" x14ac:dyDescent="0.3"/>
    <row r="761" s="86" customFormat="1" ht="15.75" customHeight="1" x14ac:dyDescent="0.3"/>
    <row r="762" s="86" customFormat="1" ht="15.75" customHeight="1" x14ac:dyDescent="0.3"/>
    <row r="763" s="86" customFormat="1" ht="15.75" customHeight="1" x14ac:dyDescent="0.3"/>
    <row r="764" s="86" customFormat="1" ht="15.75" customHeight="1" x14ac:dyDescent="0.3"/>
    <row r="765" s="86" customFormat="1" ht="15.75" customHeight="1" x14ac:dyDescent="0.3"/>
    <row r="766" s="86" customFormat="1" ht="15.75" customHeight="1" x14ac:dyDescent="0.3"/>
    <row r="767" s="86" customFormat="1" ht="15.75" customHeight="1" x14ac:dyDescent="0.3"/>
    <row r="768" s="86" customFormat="1" ht="15.75" customHeight="1" x14ac:dyDescent="0.3"/>
    <row r="769" s="86" customFormat="1" ht="15.75" customHeight="1" x14ac:dyDescent="0.3"/>
    <row r="770" s="86" customFormat="1" ht="15.75" customHeight="1" x14ac:dyDescent="0.3"/>
    <row r="771" s="86" customFormat="1" ht="15.75" customHeight="1" x14ac:dyDescent="0.3"/>
    <row r="772" s="86" customFormat="1" ht="15.75" customHeight="1" x14ac:dyDescent="0.3"/>
    <row r="773" s="86" customFormat="1" ht="15.75" customHeight="1" x14ac:dyDescent="0.3"/>
    <row r="774" s="86" customFormat="1" ht="15.75" customHeight="1" x14ac:dyDescent="0.3"/>
    <row r="775" s="86" customFormat="1" ht="15.75" customHeight="1" x14ac:dyDescent="0.3"/>
    <row r="776" s="86" customFormat="1" ht="15.75" customHeight="1" x14ac:dyDescent="0.3"/>
    <row r="777" s="86" customFormat="1" ht="15.75" customHeight="1" x14ac:dyDescent="0.3"/>
    <row r="778" s="86" customFormat="1" ht="15.75" customHeight="1" x14ac:dyDescent="0.3"/>
    <row r="779" s="86" customFormat="1" ht="15.75" customHeight="1" x14ac:dyDescent="0.3"/>
    <row r="780" s="86" customFormat="1" ht="15.75" customHeight="1" x14ac:dyDescent="0.3"/>
    <row r="781" s="86" customFormat="1" ht="15.75" customHeight="1" x14ac:dyDescent="0.3"/>
    <row r="782" s="86" customFormat="1" ht="15.75" customHeight="1" x14ac:dyDescent="0.3"/>
    <row r="783" s="86" customFormat="1" ht="15.75" customHeight="1" x14ac:dyDescent="0.3"/>
    <row r="784" s="86" customFormat="1" ht="15.75" customHeight="1" x14ac:dyDescent="0.3"/>
    <row r="785" s="86" customFormat="1" ht="15.75" customHeight="1" x14ac:dyDescent="0.3"/>
    <row r="786" s="86" customFormat="1" ht="15.75" customHeight="1" x14ac:dyDescent="0.3"/>
    <row r="787" s="86" customFormat="1" ht="15.75" customHeight="1" x14ac:dyDescent="0.3"/>
    <row r="788" s="86" customFormat="1" ht="15.75" customHeight="1" x14ac:dyDescent="0.3"/>
    <row r="789" s="86" customFormat="1" ht="15.75" customHeight="1" x14ac:dyDescent="0.3"/>
    <row r="790" s="86" customFormat="1" ht="15.75" customHeight="1" x14ac:dyDescent="0.3"/>
    <row r="791" s="86" customFormat="1" ht="15.75" customHeight="1" x14ac:dyDescent="0.3"/>
    <row r="792" s="86" customFormat="1" ht="15.75" customHeight="1" x14ac:dyDescent="0.3"/>
    <row r="793" s="86" customFormat="1" ht="15.75" customHeight="1" x14ac:dyDescent="0.3"/>
    <row r="794" s="86" customFormat="1" ht="15.75" customHeight="1" x14ac:dyDescent="0.3"/>
    <row r="795" s="86" customFormat="1" ht="15.75" customHeight="1" x14ac:dyDescent="0.3"/>
    <row r="796" s="86" customFormat="1" ht="15.75" customHeight="1" x14ac:dyDescent="0.3"/>
    <row r="797" s="86" customFormat="1" ht="15.75" customHeight="1" x14ac:dyDescent="0.3"/>
    <row r="798" s="86" customFormat="1" ht="15.75" customHeight="1" x14ac:dyDescent="0.3"/>
    <row r="799" s="86" customFormat="1" ht="15.75" customHeight="1" x14ac:dyDescent="0.3"/>
    <row r="800" s="86" customFormat="1" ht="15.75" customHeight="1" x14ac:dyDescent="0.3"/>
    <row r="801" s="86" customFormat="1" ht="15.75" customHeight="1" x14ac:dyDescent="0.3"/>
    <row r="802" s="86" customFormat="1" ht="15.75" customHeight="1" x14ac:dyDescent="0.3"/>
    <row r="803" s="86" customFormat="1" ht="15.75" customHeight="1" x14ac:dyDescent="0.3"/>
    <row r="804" s="86" customFormat="1" ht="15.75" customHeight="1" x14ac:dyDescent="0.3"/>
    <row r="805" s="86" customFormat="1" ht="15.75" customHeight="1" x14ac:dyDescent="0.3"/>
    <row r="806" s="86" customFormat="1" ht="15.75" customHeight="1" x14ac:dyDescent="0.3"/>
    <row r="807" s="86" customFormat="1" ht="15.75" customHeight="1" x14ac:dyDescent="0.3"/>
    <row r="808" s="86" customFormat="1" ht="15.75" customHeight="1" x14ac:dyDescent="0.3"/>
    <row r="809" s="86" customFormat="1" ht="15.75" customHeight="1" x14ac:dyDescent="0.3"/>
    <row r="810" s="86" customFormat="1" ht="15.75" customHeight="1" x14ac:dyDescent="0.3"/>
    <row r="811" s="86" customFormat="1" ht="15.75" customHeight="1" x14ac:dyDescent="0.3"/>
    <row r="812" s="86" customFormat="1" ht="15.75" customHeight="1" x14ac:dyDescent="0.3"/>
    <row r="813" s="86" customFormat="1" ht="15.75" customHeight="1" x14ac:dyDescent="0.3"/>
    <row r="814" s="86" customFormat="1" ht="15.75" customHeight="1" x14ac:dyDescent="0.3"/>
    <row r="815" s="86" customFormat="1" ht="15.75" customHeight="1" x14ac:dyDescent="0.3"/>
    <row r="816" s="86" customFormat="1" ht="15.75" customHeight="1" x14ac:dyDescent="0.3"/>
    <row r="817" s="86" customFormat="1" ht="15.75" customHeight="1" x14ac:dyDescent="0.3"/>
    <row r="818" s="86" customFormat="1" ht="15.75" customHeight="1" x14ac:dyDescent="0.3"/>
    <row r="819" s="86" customFormat="1" ht="15.75" customHeight="1" x14ac:dyDescent="0.3"/>
    <row r="820" s="86" customFormat="1" ht="15.75" customHeight="1" x14ac:dyDescent="0.3"/>
    <row r="821" s="86" customFormat="1" ht="15.75" customHeight="1" x14ac:dyDescent="0.3"/>
    <row r="822" s="86" customFormat="1" ht="15.75" customHeight="1" x14ac:dyDescent="0.3"/>
    <row r="823" s="86" customFormat="1" ht="15.75" customHeight="1" x14ac:dyDescent="0.3"/>
    <row r="824" s="86" customFormat="1" ht="15.75" customHeight="1" x14ac:dyDescent="0.3"/>
    <row r="825" s="86" customFormat="1" ht="15.75" customHeight="1" x14ac:dyDescent="0.3"/>
    <row r="826" s="86" customFormat="1" ht="15.75" customHeight="1" x14ac:dyDescent="0.3"/>
    <row r="827" s="86" customFormat="1" ht="15.75" customHeight="1" x14ac:dyDescent="0.3"/>
    <row r="828" s="86" customFormat="1" ht="15.75" customHeight="1" x14ac:dyDescent="0.3"/>
    <row r="829" s="86" customFormat="1" ht="15.75" customHeight="1" x14ac:dyDescent="0.3"/>
    <row r="830" s="86" customFormat="1" ht="15.75" customHeight="1" x14ac:dyDescent="0.3"/>
    <row r="831" s="86" customFormat="1" ht="15.75" customHeight="1" x14ac:dyDescent="0.3"/>
    <row r="832" s="86" customFormat="1" ht="15.75" customHeight="1" x14ac:dyDescent="0.3"/>
    <row r="833" s="86" customFormat="1" ht="15.75" customHeight="1" x14ac:dyDescent="0.3"/>
    <row r="834" s="86" customFormat="1" ht="15.75" customHeight="1" x14ac:dyDescent="0.3"/>
    <row r="835" s="86" customFormat="1" ht="15.75" customHeight="1" x14ac:dyDescent="0.3"/>
    <row r="836" s="86" customFormat="1" ht="15.75" customHeight="1" x14ac:dyDescent="0.3"/>
    <row r="837" s="86" customFormat="1" ht="15.75" customHeight="1" x14ac:dyDescent="0.3"/>
    <row r="838" s="86" customFormat="1" ht="15.75" customHeight="1" x14ac:dyDescent="0.3"/>
    <row r="839" s="86" customFormat="1" ht="15.75" customHeight="1" x14ac:dyDescent="0.3"/>
    <row r="840" s="86" customFormat="1" ht="15.75" customHeight="1" x14ac:dyDescent="0.3"/>
    <row r="841" s="86" customFormat="1" ht="15.75" customHeight="1" x14ac:dyDescent="0.3"/>
    <row r="842" s="86" customFormat="1" ht="15.75" customHeight="1" x14ac:dyDescent="0.3"/>
    <row r="843" s="86" customFormat="1" ht="15.75" customHeight="1" x14ac:dyDescent="0.3"/>
    <row r="844" s="86" customFormat="1" ht="15.75" customHeight="1" x14ac:dyDescent="0.3"/>
    <row r="845" s="86" customFormat="1" ht="15.75" customHeight="1" x14ac:dyDescent="0.3"/>
    <row r="846" s="86" customFormat="1" ht="15.75" customHeight="1" x14ac:dyDescent="0.3"/>
    <row r="847" s="86" customFormat="1" ht="15.75" customHeight="1" x14ac:dyDescent="0.3"/>
    <row r="848" s="86" customFormat="1" ht="15.75" customHeight="1" x14ac:dyDescent="0.3"/>
    <row r="849" s="86" customFormat="1" ht="15.75" customHeight="1" x14ac:dyDescent="0.3"/>
    <row r="850" s="86" customFormat="1" ht="15.75" customHeight="1" x14ac:dyDescent="0.3"/>
    <row r="851" s="86" customFormat="1" ht="15.75" customHeight="1" x14ac:dyDescent="0.3"/>
    <row r="852" s="86" customFormat="1" ht="15.75" customHeight="1" x14ac:dyDescent="0.3"/>
    <row r="853" s="86" customFormat="1" ht="15.75" customHeight="1" x14ac:dyDescent="0.3"/>
    <row r="854" s="86" customFormat="1" ht="15.75" customHeight="1" x14ac:dyDescent="0.3"/>
    <row r="855" s="86" customFormat="1" ht="15.75" customHeight="1" x14ac:dyDescent="0.3"/>
    <row r="856" s="86" customFormat="1" ht="15.75" customHeight="1" x14ac:dyDescent="0.3"/>
    <row r="857" s="86" customFormat="1" ht="15.75" customHeight="1" x14ac:dyDescent="0.3"/>
    <row r="858" s="86" customFormat="1" ht="15.75" customHeight="1" x14ac:dyDescent="0.3"/>
    <row r="859" s="86" customFormat="1" ht="15.75" customHeight="1" x14ac:dyDescent="0.3"/>
    <row r="860" s="86" customFormat="1" ht="15.75" customHeight="1" x14ac:dyDescent="0.3"/>
    <row r="861" s="86" customFormat="1" ht="15.75" customHeight="1" x14ac:dyDescent="0.3"/>
    <row r="862" s="86" customFormat="1" ht="15.75" customHeight="1" x14ac:dyDescent="0.3"/>
    <row r="863" s="86" customFormat="1" ht="15.75" customHeight="1" x14ac:dyDescent="0.3"/>
    <row r="864" s="86" customFormat="1" ht="15.75" customHeight="1" x14ac:dyDescent="0.3"/>
    <row r="865" s="86" customFormat="1" ht="15.75" customHeight="1" x14ac:dyDescent="0.3"/>
    <row r="866" s="86" customFormat="1" ht="15.75" customHeight="1" x14ac:dyDescent="0.3"/>
    <row r="867" s="86" customFormat="1" ht="15.75" customHeight="1" x14ac:dyDescent="0.3"/>
    <row r="868" s="86" customFormat="1" ht="15.75" customHeight="1" x14ac:dyDescent="0.3"/>
    <row r="869" s="86" customFormat="1" ht="15.75" customHeight="1" x14ac:dyDescent="0.3"/>
    <row r="870" s="86" customFormat="1" ht="15.75" customHeight="1" x14ac:dyDescent="0.3"/>
    <row r="871" s="86" customFormat="1" ht="15.75" customHeight="1" x14ac:dyDescent="0.3"/>
    <row r="872" s="86" customFormat="1" ht="15.75" customHeight="1" x14ac:dyDescent="0.3"/>
    <row r="873" s="86" customFormat="1" ht="15.75" customHeight="1" x14ac:dyDescent="0.3"/>
    <row r="874" s="86" customFormat="1" ht="15.75" customHeight="1" x14ac:dyDescent="0.3"/>
    <row r="875" s="86" customFormat="1" ht="15.75" customHeight="1" x14ac:dyDescent="0.3"/>
    <row r="876" s="86" customFormat="1" ht="15.75" customHeight="1" x14ac:dyDescent="0.3"/>
    <row r="877" s="86" customFormat="1" ht="15.75" customHeight="1" x14ac:dyDescent="0.3"/>
    <row r="878" s="86" customFormat="1" ht="15.75" customHeight="1" x14ac:dyDescent="0.3"/>
    <row r="879" s="86" customFormat="1" ht="15.75" customHeight="1" x14ac:dyDescent="0.3"/>
    <row r="880" s="86" customFormat="1" ht="15.75" customHeight="1" x14ac:dyDescent="0.3"/>
    <row r="881" s="86" customFormat="1" ht="15.75" customHeight="1" x14ac:dyDescent="0.3"/>
    <row r="882" s="86" customFormat="1" ht="15.75" customHeight="1" x14ac:dyDescent="0.3"/>
    <row r="883" s="86" customFormat="1" ht="15.75" customHeight="1" x14ac:dyDescent="0.3"/>
    <row r="884" s="86" customFormat="1" ht="15.75" customHeight="1" x14ac:dyDescent="0.3"/>
    <row r="885" s="86" customFormat="1" ht="15.75" customHeight="1" x14ac:dyDescent="0.3"/>
    <row r="886" s="86" customFormat="1" ht="15.75" customHeight="1" x14ac:dyDescent="0.3"/>
    <row r="887" s="86" customFormat="1" ht="15.75" customHeight="1" x14ac:dyDescent="0.3"/>
    <row r="888" s="86" customFormat="1" ht="15.75" customHeight="1" x14ac:dyDescent="0.3"/>
    <row r="889" s="86" customFormat="1" ht="15.75" customHeight="1" x14ac:dyDescent="0.3"/>
    <row r="890" s="86" customFormat="1" ht="15.75" customHeight="1" x14ac:dyDescent="0.3"/>
    <row r="891" s="86" customFormat="1" ht="15.75" customHeight="1" x14ac:dyDescent="0.3"/>
    <row r="892" s="86" customFormat="1" ht="15.75" customHeight="1" x14ac:dyDescent="0.3"/>
    <row r="893" s="86" customFormat="1" ht="15.75" customHeight="1" x14ac:dyDescent="0.3"/>
    <row r="894" s="86" customFormat="1" ht="15.75" customHeight="1" x14ac:dyDescent="0.3"/>
    <row r="895" s="86" customFormat="1" ht="15.75" customHeight="1" x14ac:dyDescent="0.3"/>
    <row r="896" s="86" customFormat="1" ht="15.75" customHeight="1" x14ac:dyDescent="0.3"/>
    <row r="897" s="86" customFormat="1" ht="15.75" customHeight="1" x14ac:dyDescent="0.3"/>
    <row r="898" s="86" customFormat="1" ht="15.75" customHeight="1" x14ac:dyDescent="0.3"/>
    <row r="899" s="86" customFormat="1" ht="15.75" customHeight="1" x14ac:dyDescent="0.3"/>
    <row r="900" s="86" customFormat="1" ht="15.75" customHeight="1" x14ac:dyDescent="0.3"/>
    <row r="901" s="86" customFormat="1" ht="15.75" customHeight="1" x14ac:dyDescent="0.3"/>
    <row r="902" s="86" customFormat="1" ht="15.75" customHeight="1" x14ac:dyDescent="0.3"/>
    <row r="903" s="86" customFormat="1" ht="15.75" customHeight="1" x14ac:dyDescent="0.3"/>
    <row r="904" s="86" customFormat="1" ht="15.75" customHeight="1" x14ac:dyDescent="0.3"/>
    <row r="905" s="86" customFormat="1" ht="15.75" customHeight="1" x14ac:dyDescent="0.3"/>
    <row r="906" s="86" customFormat="1" ht="15.75" customHeight="1" x14ac:dyDescent="0.3"/>
    <row r="907" s="86" customFormat="1" ht="15.75" customHeight="1" x14ac:dyDescent="0.3"/>
    <row r="908" s="86" customFormat="1" ht="15.75" customHeight="1" x14ac:dyDescent="0.3"/>
    <row r="909" s="86" customFormat="1" ht="15.75" customHeight="1" x14ac:dyDescent="0.3"/>
    <row r="910" s="86" customFormat="1" ht="15.75" customHeight="1" x14ac:dyDescent="0.3"/>
    <row r="911" s="86" customFormat="1" ht="15.75" customHeight="1" x14ac:dyDescent="0.3"/>
    <row r="912" s="86" customFormat="1" ht="15.75" customHeight="1" x14ac:dyDescent="0.3"/>
    <row r="913" s="86" customFormat="1" ht="15.75" customHeight="1" x14ac:dyDescent="0.3"/>
    <row r="914" s="86" customFormat="1" ht="15.75" customHeight="1" x14ac:dyDescent="0.3"/>
    <row r="915" s="86" customFormat="1" ht="15.75" customHeight="1" x14ac:dyDescent="0.3"/>
    <row r="916" s="86" customFormat="1" ht="15.75" customHeight="1" x14ac:dyDescent="0.3"/>
    <row r="917" s="86" customFormat="1" ht="15.75" customHeight="1" x14ac:dyDescent="0.3"/>
    <row r="918" s="86" customFormat="1" ht="15.75" customHeight="1" x14ac:dyDescent="0.3"/>
    <row r="919" s="86" customFormat="1" ht="15.75" customHeight="1" x14ac:dyDescent="0.3"/>
    <row r="920" s="86" customFormat="1" ht="15.75" customHeight="1" x14ac:dyDescent="0.3"/>
    <row r="921" s="86" customFormat="1" ht="15.75" customHeight="1" x14ac:dyDescent="0.3"/>
    <row r="922" s="86" customFormat="1" ht="15.75" customHeight="1" x14ac:dyDescent="0.3"/>
    <row r="923" s="86" customFormat="1" ht="15.75" customHeight="1" x14ac:dyDescent="0.3"/>
    <row r="924" s="86" customFormat="1" ht="15.75" customHeight="1" x14ac:dyDescent="0.3"/>
    <row r="925" s="86" customFormat="1" ht="15.75" customHeight="1" x14ac:dyDescent="0.3"/>
    <row r="926" s="86" customFormat="1" ht="15.75" customHeight="1" x14ac:dyDescent="0.3"/>
    <row r="927" s="86" customFormat="1" ht="15.75" customHeight="1" x14ac:dyDescent="0.3"/>
    <row r="928" s="86" customFormat="1" ht="15.75" customHeight="1" x14ac:dyDescent="0.3"/>
    <row r="929" s="86" customFormat="1" ht="15.75" customHeight="1" x14ac:dyDescent="0.3"/>
    <row r="930" s="86" customFormat="1" ht="15.75" customHeight="1" x14ac:dyDescent="0.3"/>
    <row r="931" s="86" customFormat="1" ht="15.75" customHeight="1" x14ac:dyDescent="0.3"/>
    <row r="932" s="86" customFormat="1" ht="15.75" customHeight="1" x14ac:dyDescent="0.3"/>
    <row r="933" s="86" customFormat="1" ht="15.75" customHeight="1" x14ac:dyDescent="0.3"/>
    <row r="934" s="86" customFormat="1" ht="15.75" customHeight="1" x14ac:dyDescent="0.3"/>
    <row r="935" s="86" customFormat="1" ht="15.75" customHeight="1" x14ac:dyDescent="0.3"/>
    <row r="936" s="86" customFormat="1" ht="15.75" customHeight="1" x14ac:dyDescent="0.3"/>
    <row r="937" s="86" customFormat="1" ht="15.75" customHeight="1" x14ac:dyDescent="0.3"/>
    <row r="938" s="86" customFormat="1" ht="15.75" customHeight="1" x14ac:dyDescent="0.3"/>
    <row r="939" s="86" customFormat="1" ht="15.75" customHeight="1" x14ac:dyDescent="0.3"/>
    <row r="940" s="86" customFormat="1" ht="15.75" customHeight="1" x14ac:dyDescent="0.3"/>
    <row r="941" s="86" customFormat="1" ht="15.75" customHeight="1" x14ac:dyDescent="0.3"/>
    <row r="942" s="86" customFormat="1" ht="15.75" customHeight="1" x14ac:dyDescent="0.3"/>
    <row r="943" s="86" customFormat="1" ht="15.75" customHeight="1" x14ac:dyDescent="0.3"/>
    <row r="944" s="86" customFormat="1" ht="15.75" customHeight="1" x14ac:dyDescent="0.3"/>
    <row r="945" s="86" customFormat="1" ht="15.75" customHeight="1" x14ac:dyDescent="0.3"/>
    <row r="946" s="86" customFormat="1" ht="15.75" customHeight="1" x14ac:dyDescent="0.3"/>
    <row r="947" s="86" customFormat="1" ht="15.75" customHeight="1" x14ac:dyDescent="0.3"/>
    <row r="948" s="86" customFormat="1" ht="15.75" customHeight="1" x14ac:dyDescent="0.3"/>
    <row r="949" s="86" customFormat="1" ht="15.75" customHeight="1" x14ac:dyDescent="0.3"/>
    <row r="950" s="86" customFormat="1" ht="15.75" customHeight="1" x14ac:dyDescent="0.3"/>
    <row r="951" s="86" customFormat="1" ht="15.75" customHeight="1" x14ac:dyDescent="0.3"/>
    <row r="952" s="86" customFormat="1" ht="15.75" customHeight="1" x14ac:dyDescent="0.3"/>
    <row r="953" s="86" customFormat="1" ht="15.75" customHeight="1" x14ac:dyDescent="0.3"/>
    <row r="954" s="86" customFormat="1" ht="15.75" customHeight="1" x14ac:dyDescent="0.3"/>
    <row r="955" s="86" customFormat="1" ht="15.75" customHeight="1" x14ac:dyDescent="0.3"/>
    <row r="956" s="86" customFormat="1" ht="15.75" customHeight="1" x14ac:dyDescent="0.3"/>
    <row r="957" s="86" customFormat="1" ht="15.75" customHeight="1" x14ac:dyDescent="0.3"/>
    <row r="958" s="86" customFormat="1" ht="15.75" customHeight="1" x14ac:dyDescent="0.3"/>
    <row r="959" s="86" customFormat="1" ht="15.75" customHeight="1" x14ac:dyDescent="0.3"/>
    <row r="960" s="86" customFormat="1" ht="15.75" customHeight="1" x14ac:dyDescent="0.3"/>
    <row r="961" s="86" customFormat="1" ht="15.75" customHeight="1" x14ac:dyDescent="0.3"/>
    <row r="962" s="86" customFormat="1" ht="15.75" customHeight="1" x14ac:dyDescent="0.3"/>
    <row r="963" s="86" customFormat="1" ht="15.75" customHeight="1" x14ac:dyDescent="0.3"/>
    <row r="964" s="86" customFormat="1" ht="15.75" customHeight="1" x14ac:dyDescent="0.3"/>
    <row r="965" s="86" customFormat="1" ht="15.75" customHeight="1" x14ac:dyDescent="0.3"/>
    <row r="966" s="86" customFormat="1" ht="15.75" customHeight="1" x14ac:dyDescent="0.3"/>
    <row r="967" s="86" customFormat="1" ht="15.75" customHeight="1" x14ac:dyDescent="0.3"/>
    <row r="968" s="86" customFormat="1" ht="15.75" customHeight="1" x14ac:dyDescent="0.3"/>
    <row r="969" s="86" customFormat="1" ht="15.75" customHeight="1" x14ac:dyDescent="0.3"/>
    <row r="970" s="86" customFormat="1" ht="15.75" customHeight="1" x14ac:dyDescent="0.3"/>
    <row r="971" s="86" customFormat="1" ht="15.75" customHeight="1" x14ac:dyDescent="0.3"/>
    <row r="972" s="86" customFormat="1" ht="15.75" customHeight="1" x14ac:dyDescent="0.3"/>
    <row r="973" s="86" customFormat="1" ht="15.75" customHeight="1" x14ac:dyDescent="0.3"/>
    <row r="974" s="86" customFormat="1" ht="15.75" customHeight="1" x14ac:dyDescent="0.3"/>
    <row r="975" s="86" customFormat="1" ht="15.75" customHeight="1" x14ac:dyDescent="0.3"/>
    <row r="976" s="86" customFormat="1" ht="15.75" customHeight="1" x14ac:dyDescent="0.3"/>
    <row r="977" s="86" customFormat="1" ht="15.75" customHeight="1" x14ac:dyDescent="0.3"/>
    <row r="978" s="86" customFormat="1" ht="15.75" customHeight="1" x14ac:dyDescent="0.3"/>
    <row r="979" s="86" customFormat="1" ht="15.75" customHeight="1" x14ac:dyDescent="0.3"/>
    <row r="980" s="86" customFormat="1" ht="15.75" customHeight="1" x14ac:dyDescent="0.3"/>
    <row r="981" s="86" customFormat="1" ht="15.75" customHeight="1" x14ac:dyDescent="0.3"/>
    <row r="982" s="86" customFormat="1" ht="15.75" customHeight="1" x14ac:dyDescent="0.3"/>
    <row r="983" s="86" customFormat="1" ht="15.75" customHeight="1" x14ac:dyDescent="0.3"/>
    <row r="984" s="86" customFormat="1" ht="15.75" customHeight="1" x14ac:dyDescent="0.3"/>
    <row r="985" s="86" customFormat="1" ht="15.75" customHeight="1" x14ac:dyDescent="0.3"/>
    <row r="986" s="86" customFormat="1" ht="15.75" customHeight="1" x14ac:dyDescent="0.3"/>
    <row r="987" s="86" customFormat="1" ht="15.75" customHeight="1" x14ac:dyDescent="0.3"/>
    <row r="988" s="86" customFormat="1" ht="15.75" customHeight="1" x14ac:dyDescent="0.3"/>
    <row r="989" s="86" customFormat="1" ht="15.75" customHeight="1" x14ac:dyDescent="0.3"/>
    <row r="990" s="86" customFormat="1" ht="15.75" customHeight="1" x14ac:dyDescent="0.3"/>
    <row r="991" s="86" customFormat="1" ht="15.75" customHeight="1" x14ac:dyDescent="0.3"/>
    <row r="992" s="86" customFormat="1" ht="15.75" customHeight="1" x14ac:dyDescent="0.3"/>
    <row r="993" s="86" customFormat="1" ht="15.75" customHeight="1" x14ac:dyDescent="0.3"/>
    <row r="994" s="86" customFormat="1" ht="15.75" customHeight="1" x14ac:dyDescent="0.3"/>
    <row r="995" s="86" customFormat="1" ht="15.75" customHeight="1" x14ac:dyDescent="0.3"/>
    <row r="996" s="86" customFormat="1" ht="15.75" customHeight="1" x14ac:dyDescent="0.3"/>
    <row r="997" s="86" customFormat="1" ht="15.75" customHeight="1" x14ac:dyDescent="0.3"/>
    <row r="998" s="86" customFormat="1" ht="15.75" customHeight="1" x14ac:dyDescent="0.3"/>
    <row r="999" s="86" customFormat="1" ht="15.75" customHeight="1" x14ac:dyDescent="0.3"/>
    <row r="1000" s="86" customFormat="1" ht="15.75" customHeight="1" x14ac:dyDescent="0.3"/>
  </sheetData>
  <mergeCells count="3">
    <mergeCell ref="B1:D1"/>
    <mergeCell ref="B12:D12"/>
    <mergeCell ref="B13:D13"/>
  </mergeCells>
  <dataValidations count="3">
    <dataValidation type="list" allowBlank="1" showErrorMessage="1" sqref="B4" xr:uid="{62253D02-18B6-46D7-9902-2ECB6C1191B6}">
      <formula1>$C$6:$C$10</formula1>
    </dataValidation>
    <dataValidation type="list" allowBlank="1" showErrorMessage="1" sqref="D5" xr:uid="{2BDFA1FD-97B5-470E-AB59-FAACF3B4F71A}">
      <formula1>$B$6:$B$8</formula1>
    </dataValidation>
    <dataValidation type="list" allowBlank="1" showErrorMessage="1" sqref="B5" xr:uid="{848A1CB9-A1B6-43ED-8B33-B21C510C8034}">
      <formula1>$A$6:$A$10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>
      <selection activeCell="D22" sqref="D22"/>
    </sheetView>
  </sheetViews>
  <sheetFormatPr defaultColWidth="14.44140625" defaultRowHeight="15" customHeight="1" x14ac:dyDescent="0.3"/>
  <cols>
    <col min="1" max="1" width="35.88671875" customWidth="1"/>
    <col min="2" max="2" width="11" customWidth="1"/>
    <col min="3" max="26" width="8.6640625" customWidth="1"/>
  </cols>
  <sheetData>
    <row r="1" spans="1:3" ht="15.6" x14ac:dyDescent="0.3">
      <c r="A1" s="78" t="s">
        <v>85</v>
      </c>
    </row>
    <row r="2" spans="1:3" ht="14.4" x14ac:dyDescent="0.3">
      <c r="A2" t="s">
        <v>86</v>
      </c>
      <c r="B2" t="s">
        <v>87</v>
      </c>
    </row>
    <row r="3" spans="1:3" ht="14.4" x14ac:dyDescent="0.3">
      <c r="A3" t="s">
        <v>88</v>
      </c>
      <c r="B3" s="79">
        <v>43581</v>
      </c>
    </row>
    <row r="4" spans="1:3" ht="14.4" x14ac:dyDescent="0.3">
      <c r="A4" t="s">
        <v>89</v>
      </c>
    </row>
    <row r="7" spans="1:3" ht="14.4" x14ac:dyDescent="0.3">
      <c r="A7" s="8" t="s">
        <v>90</v>
      </c>
      <c r="B7" s="8">
        <v>100</v>
      </c>
      <c r="C7" s="8"/>
    </row>
    <row r="8" spans="1:3" ht="14.4" x14ac:dyDescent="0.3">
      <c r="A8" s="8" t="s">
        <v>91</v>
      </c>
      <c r="B8" s="8">
        <v>100</v>
      </c>
      <c r="C8" s="80">
        <v>1</v>
      </c>
    </row>
    <row r="9" spans="1:3" ht="14.4" x14ac:dyDescent="0.3">
      <c r="A9" s="8" t="s">
        <v>92</v>
      </c>
      <c r="B9" s="8">
        <v>83</v>
      </c>
      <c r="C9" s="81">
        <v>0.83</v>
      </c>
    </row>
    <row r="10" spans="1:3" ht="14.4" x14ac:dyDescent="0.3">
      <c r="A10" s="8" t="s">
        <v>93</v>
      </c>
      <c r="B10" s="8">
        <v>20</v>
      </c>
      <c r="C10" s="81">
        <v>0.2</v>
      </c>
    </row>
    <row r="12" spans="1:3" ht="14.4" x14ac:dyDescent="0.3">
      <c r="A12" s="8" t="s">
        <v>94</v>
      </c>
      <c r="B12" s="8">
        <v>20</v>
      </c>
    </row>
    <row r="13" spans="1:3" ht="14.4" x14ac:dyDescent="0.3">
      <c r="A13" s="8" t="s">
        <v>95</v>
      </c>
      <c r="B13" s="8">
        <v>10</v>
      </c>
    </row>
    <row r="14" spans="1:3" ht="14.4" x14ac:dyDescent="0.3">
      <c r="A14" s="8" t="s">
        <v>96</v>
      </c>
      <c r="B14" s="8">
        <v>5</v>
      </c>
    </row>
    <row r="15" spans="1:3" ht="14.4" x14ac:dyDescent="0.3">
      <c r="A15" s="8" t="s">
        <v>97</v>
      </c>
      <c r="B15" s="8"/>
    </row>
    <row r="16" spans="1:3" ht="14.4" x14ac:dyDescent="0.3">
      <c r="A16" s="8" t="s">
        <v>98</v>
      </c>
      <c r="B16" s="8">
        <v>4</v>
      </c>
    </row>
    <row r="17" spans="1:2" ht="14.4" x14ac:dyDescent="0.3">
      <c r="A17" s="8" t="s">
        <v>99</v>
      </c>
      <c r="B17" s="8">
        <v>1</v>
      </c>
    </row>
    <row r="20" spans="1:2" ht="15.6" x14ac:dyDescent="0.3">
      <c r="A20" s="78" t="s">
        <v>100</v>
      </c>
    </row>
    <row r="21" spans="1:2" ht="15.75" customHeight="1" x14ac:dyDescent="0.3">
      <c r="A21" t="s">
        <v>101</v>
      </c>
    </row>
    <row r="22" spans="1:2" ht="15.75" customHeight="1" x14ac:dyDescent="0.3"/>
    <row r="23" spans="1:2" ht="15.75" customHeight="1" x14ac:dyDescent="0.3"/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Тест-план</vt:lpstr>
      <vt:lpstr>Чек-лист + Дефекты</vt:lpstr>
      <vt:lpstr>Тест-кейс 1</vt:lpstr>
      <vt:lpstr>Дефект 1</vt:lpstr>
      <vt:lpstr>Тест-кейс 2</vt:lpstr>
      <vt:lpstr>Дефект 2</vt:lpstr>
      <vt:lpstr>Тест-кейс 3</vt:lpstr>
      <vt:lpstr>Дефект 3</vt:lpstr>
      <vt:lpstr>Отчет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Ekaterina</cp:lastModifiedBy>
  <dcterms:created xsi:type="dcterms:W3CDTF">2006-09-28T05:33:49Z</dcterms:created>
  <dcterms:modified xsi:type="dcterms:W3CDTF">2026-05-26T11:29:46Z</dcterms:modified>
</cp:coreProperties>
</file>